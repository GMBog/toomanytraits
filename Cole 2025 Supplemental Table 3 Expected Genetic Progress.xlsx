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ole/Documents/AIPL/Selection Index/traits/toomanytraits/"/>
    </mc:Choice>
  </mc:AlternateContent>
  <xr:revisionPtr revIDLastSave="0" documentId="13_ncr:1_{5780DCDF-B347-B745-BA2E-40308ED3C5FE}" xr6:coauthVersionLast="47" xr6:coauthVersionMax="47" xr10:uidLastSave="{00000000-0000-0000-0000-000000000000}"/>
  <bookViews>
    <workbookView xWindow="30240" yWindow="500" windowWidth="32000" windowHeight="17500" activeTab="2" xr2:uid="{F948600A-5986-8345-8149-80417D986CF8}"/>
  </bookViews>
  <sheets>
    <sheet name="Expected Genetic Progress" sheetId="1" r:id="rId1"/>
    <sheet name="Selection Index Progress" sheetId="2" r:id="rId2"/>
    <sheet name="Difference in Respon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2" i="3" l="1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82" i="3"/>
  <c r="B81" i="3"/>
  <c r="B80" i="3"/>
  <c r="B79" i="3"/>
  <c r="B78" i="3"/>
  <c r="B77" i="3"/>
  <c r="B76" i="3"/>
  <c r="B75" i="3"/>
  <c r="B74" i="3"/>
  <c r="B73" i="3"/>
  <c r="B72" i="3"/>
  <c r="B71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66" i="3"/>
  <c r="B65" i="3"/>
  <c r="B64" i="3"/>
  <c r="B63" i="3"/>
  <c r="B62" i="3"/>
  <c r="B61" i="3"/>
  <c r="B60" i="3"/>
  <c r="B59" i="3"/>
  <c r="B58" i="3"/>
  <c r="B57" i="3"/>
  <c r="B56" i="3"/>
  <c r="B55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50" i="3"/>
  <c r="B49" i="3"/>
  <c r="B48" i="3"/>
  <c r="B47" i="3"/>
  <c r="B46" i="3"/>
  <c r="B45" i="3"/>
  <c r="B44" i="3"/>
  <c r="B43" i="3"/>
  <c r="B42" i="3"/>
  <c r="B41" i="3"/>
  <c r="B40" i="3"/>
  <c r="B39" i="3"/>
  <c r="M146" i="1"/>
  <c r="L146" i="1"/>
  <c r="K146" i="1"/>
  <c r="J146" i="1"/>
  <c r="I146" i="1"/>
  <c r="H146" i="1"/>
  <c r="G146" i="1"/>
  <c r="F146" i="1"/>
  <c r="E146" i="1"/>
  <c r="D146" i="1"/>
  <c r="C146" i="1"/>
  <c r="B146" i="1"/>
  <c r="M121" i="2"/>
  <c r="L121" i="2"/>
  <c r="K121" i="2"/>
  <c r="J121" i="2"/>
  <c r="I121" i="2"/>
  <c r="H121" i="2"/>
  <c r="G121" i="2"/>
  <c r="F121" i="2"/>
  <c r="E121" i="2"/>
  <c r="D121" i="2"/>
  <c r="C121" i="2"/>
  <c r="B121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Z25" i="2" s="1" a="1"/>
  <c r="Z25" i="2" s="1"/>
  <c r="X39" i="2" s="1"/>
  <c r="C36" i="2"/>
  <c r="C35" i="2"/>
  <c r="C34" i="2"/>
  <c r="C33" i="2"/>
  <c r="C32" i="2"/>
  <c r="C31" i="2"/>
  <c r="C30" i="2"/>
  <c r="C29" i="2"/>
  <c r="C28" i="2"/>
  <c r="C27" i="2"/>
  <c r="C26" i="2"/>
  <c r="C25" i="2"/>
  <c r="B36" i="2"/>
  <c r="B35" i="2"/>
  <c r="B34" i="2"/>
  <c r="B33" i="2"/>
  <c r="B32" i="2"/>
  <c r="B31" i="2"/>
  <c r="B30" i="2"/>
  <c r="B29" i="2"/>
  <c r="B28" i="2"/>
  <c r="B27" i="2"/>
  <c r="Z27" i="2" s="1" a="1"/>
  <c r="Z27" i="2" s="1"/>
  <c r="B26" i="2"/>
  <c r="B25" i="2"/>
  <c r="B41" i="1"/>
  <c r="B58" i="1" s="1"/>
  <c r="B40" i="1"/>
  <c r="B57" i="1" s="1"/>
  <c r="B39" i="1"/>
  <c r="B56" i="1" s="1"/>
  <c r="B38" i="1"/>
  <c r="B55" i="1" s="1"/>
  <c r="B37" i="1"/>
  <c r="B54" i="1" s="1"/>
  <c r="B36" i="1"/>
  <c r="B53" i="1" s="1"/>
  <c r="B35" i="1"/>
  <c r="B52" i="1" s="1"/>
  <c r="B34" i="1"/>
  <c r="B51" i="1" s="1"/>
  <c r="B33" i="1"/>
  <c r="B50" i="1" s="1"/>
  <c r="B32" i="1"/>
  <c r="B49" i="1" s="1"/>
  <c r="B31" i="1"/>
  <c r="B48" i="1" s="1"/>
  <c r="B30" i="1"/>
  <c r="B47" i="1" s="1"/>
  <c r="Z26" i="2" l="1" a="1"/>
  <c r="Z26" i="2" s="1"/>
  <c r="N40" i="2" s="1"/>
  <c r="Z28" i="2" a="1"/>
  <c r="Z28" i="2" s="1"/>
  <c r="S42" i="2" s="1"/>
  <c r="K40" i="2"/>
  <c r="J40" i="2"/>
  <c r="D39" i="2"/>
  <c r="R39" i="2"/>
  <c r="S39" i="2"/>
  <c r="L40" i="2"/>
  <c r="C40" i="2"/>
  <c r="Q39" i="2"/>
  <c r="I40" i="2"/>
  <c r="V40" i="2"/>
  <c r="I42" i="2"/>
  <c r="Y39" i="2"/>
  <c r="J39" i="2"/>
  <c r="D40" i="2"/>
  <c r="Q40" i="2"/>
  <c r="K42" i="2"/>
  <c r="P40" i="2"/>
  <c r="B39" i="2"/>
  <c r="M39" i="2"/>
  <c r="E40" i="2"/>
  <c r="R40" i="2"/>
  <c r="L42" i="2"/>
  <c r="E39" i="2"/>
  <c r="G39" i="2"/>
  <c r="H42" i="2"/>
  <c r="O40" i="2"/>
  <c r="J42" i="2"/>
  <c r="B40" i="2"/>
  <c r="N39" i="2"/>
  <c r="F40" i="2"/>
  <c r="S40" i="2"/>
  <c r="T39" i="2"/>
  <c r="Y40" i="2"/>
  <c r="U39" i="2"/>
  <c r="H39" i="2"/>
  <c r="I39" i="2"/>
  <c r="B42" i="2"/>
  <c r="O39" i="2"/>
  <c r="G40" i="2"/>
  <c r="T40" i="2"/>
  <c r="X42" i="2"/>
  <c r="F39" i="2"/>
  <c r="M40" i="2"/>
  <c r="V39" i="2"/>
  <c r="C39" i="2"/>
  <c r="P39" i="2"/>
  <c r="H40" i="2"/>
  <c r="U40" i="2"/>
  <c r="Y42" i="2"/>
  <c r="P41" i="2"/>
  <c r="D41" i="2"/>
  <c r="O41" i="2"/>
  <c r="N41" i="2"/>
  <c r="Y41" i="2"/>
  <c r="M41" i="2"/>
  <c r="I41" i="2"/>
  <c r="W41" i="2"/>
  <c r="G41" i="2"/>
  <c r="X41" i="2"/>
  <c r="H41" i="2"/>
  <c r="C41" i="2"/>
  <c r="V41" i="2"/>
  <c r="F41" i="2"/>
  <c r="U41" i="2"/>
  <c r="E41" i="2"/>
  <c r="T41" i="2"/>
  <c r="S41" i="2"/>
  <c r="R41" i="2"/>
  <c r="Q41" i="2"/>
  <c r="L41" i="2"/>
  <c r="B41" i="2"/>
  <c r="K41" i="2"/>
  <c r="J41" i="2"/>
  <c r="M42" i="2"/>
  <c r="N42" i="2"/>
  <c r="R42" i="2"/>
  <c r="F42" i="2"/>
  <c r="Q42" i="2"/>
  <c r="E42" i="2"/>
  <c r="P42" i="2"/>
  <c r="D42" i="2"/>
  <c r="O42" i="2"/>
  <c r="V42" i="2"/>
  <c r="U42" i="2"/>
  <c r="C42" i="2"/>
  <c r="G42" i="2"/>
  <c r="W42" i="2"/>
  <c r="K39" i="2"/>
  <c r="W39" i="2"/>
  <c r="L39" i="2"/>
  <c r="Z31" i="2" a="1"/>
  <c r="Z31" i="2" s="1"/>
  <c r="Z32" i="2" a="1"/>
  <c r="Z32" i="2" s="1"/>
  <c r="Z33" i="2" a="1"/>
  <c r="Z33" i="2" s="1"/>
  <c r="Z34" i="2" a="1"/>
  <c r="Z34" i="2" s="1"/>
  <c r="Z29" i="2" a="1"/>
  <c r="Z29" i="2" s="1"/>
  <c r="Z35" i="2" a="1"/>
  <c r="Z35" i="2" s="1"/>
  <c r="Z30" i="2" a="1"/>
  <c r="Z30" i="2" s="1"/>
  <c r="Z36" i="2" a="1"/>
  <c r="Z36" i="2" s="1"/>
  <c r="X36" i="1"/>
  <c r="X53" i="1" s="1"/>
  <c r="V39" i="1"/>
  <c r="V56" i="1" s="1"/>
  <c r="U36" i="1"/>
  <c r="U53" i="1" s="1"/>
  <c r="T37" i="1"/>
  <c r="T54" i="1" s="1"/>
  <c r="S40" i="1"/>
  <c r="S57" i="1" s="1"/>
  <c r="R37" i="1"/>
  <c r="R54" i="1" s="1"/>
  <c r="Q33" i="1"/>
  <c r="Q50" i="1" s="1"/>
  <c r="P33" i="1"/>
  <c r="P50" i="1" s="1"/>
  <c r="O38" i="1"/>
  <c r="O55" i="1" s="1"/>
  <c r="L32" i="1"/>
  <c r="L49" i="1" s="1"/>
  <c r="K39" i="1"/>
  <c r="K56" i="1" s="1"/>
  <c r="K38" i="1"/>
  <c r="K55" i="1" s="1"/>
  <c r="J39" i="1"/>
  <c r="J56" i="1" s="1"/>
  <c r="M38" i="1"/>
  <c r="M55" i="1" s="1"/>
  <c r="L36" i="1"/>
  <c r="L53" i="1" s="1"/>
  <c r="I39" i="1"/>
  <c r="I56" i="1" s="1"/>
  <c r="H38" i="1"/>
  <c r="H55" i="1" s="1"/>
  <c r="G34" i="1"/>
  <c r="G51" i="1" s="1"/>
  <c r="F34" i="1"/>
  <c r="F51" i="1" s="1"/>
  <c r="E34" i="1"/>
  <c r="E51" i="1" s="1"/>
  <c r="C33" i="1"/>
  <c r="C50" i="1" s="1"/>
  <c r="D32" i="1"/>
  <c r="D49" i="1" s="1"/>
  <c r="V40" i="1"/>
  <c r="V57" i="1" s="1"/>
  <c r="M40" i="1"/>
  <c r="M57" i="1" s="1"/>
  <c r="K40" i="1"/>
  <c r="K57" i="1" s="1"/>
  <c r="J40" i="1"/>
  <c r="J57" i="1" s="1"/>
  <c r="I40" i="1"/>
  <c r="I57" i="1" s="1"/>
  <c r="W39" i="1"/>
  <c r="W56" i="1" s="1"/>
  <c r="M39" i="1"/>
  <c r="M56" i="1" s="1"/>
  <c r="W37" i="1"/>
  <c r="W54" i="1" s="1"/>
  <c r="V37" i="1"/>
  <c r="V54" i="1" s="1"/>
  <c r="O37" i="1"/>
  <c r="O54" i="1" s="1"/>
  <c r="M37" i="1"/>
  <c r="M54" i="1" s="1"/>
  <c r="K37" i="1"/>
  <c r="K54" i="1" s="1"/>
  <c r="I37" i="1"/>
  <c r="I54" i="1" s="1"/>
  <c r="W36" i="1"/>
  <c r="W53" i="1" s="1"/>
  <c r="V36" i="1"/>
  <c r="V53" i="1" s="1"/>
  <c r="O36" i="1"/>
  <c r="O53" i="1" s="1"/>
  <c r="M36" i="1"/>
  <c r="M53" i="1" s="1"/>
  <c r="K36" i="1"/>
  <c r="K53" i="1" s="1"/>
  <c r="I36" i="1"/>
  <c r="I53" i="1" s="1"/>
  <c r="W35" i="1"/>
  <c r="W52" i="1" s="1"/>
  <c r="Q35" i="1"/>
  <c r="Q52" i="1" s="1"/>
  <c r="O35" i="1"/>
  <c r="O52" i="1" s="1"/>
  <c r="K35" i="1"/>
  <c r="K52" i="1" s="1"/>
  <c r="I35" i="1"/>
  <c r="I52" i="1" s="1"/>
  <c r="W34" i="1"/>
  <c r="W51" i="1" s="1"/>
  <c r="Q34" i="1"/>
  <c r="Q51" i="1" s="1"/>
  <c r="K34" i="1"/>
  <c r="K51" i="1" s="1"/>
  <c r="I34" i="1"/>
  <c r="I51" i="1" s="1"/>
  <c r="W33" i="1"/>
  <c r="W50" i="1" s="1"/>
  <c r="O33" i="1"/>
  <c r="O50" i="1" s="1"/>
  <c r="M33" i="1"/>
  <c r="M50" i="1" s="1"/>
  <c r="L33" i="1"/>
  <c r="L50" i="1" s="1"/>
  <c r="K33" i="1"/>
  <c r="K50" i="1" s="1"/>
  <c r="O32" i="1"/>
  <c r="O49" i="1" s="1"/>
  <c r="M32" i="1"/>
  <c r="M49" i="1" s="1"/>
  <c r="K32" i="1"/>
  <c r="K49" i="1" s="1"/>
  <c r="W31" i="1"/>
  <c r="W48" i="1" s="1"/>
  <c r="Q31" i="1"/>
  <c r="Q48" i="1" s="1"/>
  <c r="L31" i="1"/>
  <c r="L48" i="1" s="1"/>
  <c r="G36" i="1"/>
  <c r="G53" i="1" s="1"/>
  <c r="G35" i="1"/>
  <c r="G52" i="1" s="1"/>
  <c r="F41" i="1"/>
  <c r="F58" i="1" s="1"/>
  <c r="F39" i="1"/>
  <c r="F56" i="1" s="1"/>
  <c r="F38" i="1"/>
  <c r="F55" i="1" s="1"/>
  <c r="F37" i="1"/>
  <c r="F54" i="1" s="1"/>
  <c r="F36" i="1"/>
  <c r="F53" i="1" s="1"/>
  <c r="F35" i="1"/>
  <c r="F52" i="1" s="1"/>
  <c r="F31" i="1"/>
  <c r="F48" i="1" s="1"/>
  <c r="D41" i="1"/>
  <c r="D58" i="1" s="1"/>
  <c r="D40" i="1"/>
  <c r="D57" i="1" s="1"/>
  <c r="D39" i="1"/>
  <c r="D56" i="1" s="1"/>
  <c r="D38" i="1"/>
  <c r="D55" i="1" s="1"/>
  <c r="D37" i="1"/>
  <c r="D54" i="1" s="1"/>
  <c r="D36" i="1"/>
  <c r="D53" i="1" s="1"/>
  <c r="D35" i="1"/>
  <c r="D52" i="1" s="1"/>
  <c r="D34" i="1"/>
  <c r="D51" i="1" s="1"/>
  <c r="D33" i="1"/>
  <c r="D50" i="1" s="1"/>
  <c r="D31" i="1"/>
  <c r="D48" i="1" s="1"/>
  <c r="C41" i="1"/>
  <c r="C58" i="1" s="1"/>
  <c r="C40" i="1"/>
  <c r="C57" i="1" s="1"/>
  <c r="C39" i="1"/>
  <c r="C56" i="1" s="1"/>
  <c r="C38" i="1"/>
  <c r="C55" i="1" s="1"/>
  <c r="C34" i="1"/>
  <c r="C51" i="1" s="1"/>
  <c r="C32" i="1"/>
  <c r="C49" i="1" s="1"/>
  <c r="W30" i="1"/>
  <c r="W47" i="1" s="1"/>
  <c r="Q30" i="1"/>
  <c r="Q47" i="1" s="1"/>
  <c r="L30" i="1"/>
  <c r="L47" i="1" s="1"/>
  <c r="F30" i="1"/>
  <c r="F47" i="1" s="1"/>
  <c r="D30" i="1"/>
  <c r="D47" i="1" s="1"/>
  <c r="C30" i="1"/>
  <c r="C47" i="1" s="1"/>
  <c r="W40" i="2" l="1"/>
  <c r="X40" i="2"/>
  <c r="T42" i="2"/>
  <c r="Z40" i="2" a="1"/>
  <c r="Z40" i="2" s="1"/>
  <c r="Z39" i="2" a="1"/>
  <c r="Z39" i="2" s="1"/>
  <c r="Z42" i="2" a="1"/>
  <c r="Z42" i="2" s="1"/>
  <c r="Z41" i="2" a="1"/>
  <c r="Z41" i="2" s="1"/>
  <c r="P47" i="2"/>
  <c r="D47" i="2"/>
  <c r="C47" i="2"/>
  <c r="B47" i="2"/>
  <c r="O47" i="2"/>
  <c r="N47" i="2"/>
  <c r="Y47" i="2"/>
  <c r="M47" i="2"/>
  <c r="U47" i="2"/>
  <c r="E47" i="2"/>
  <c r="S47" i="2"/>
  <c r="T47" i="2"/>
  <c r="R47" i="2"/>
  <c r="Q47" i="2"/>
  <c r="L47" i="2"/>
  <c r="K47" i="2"/>
  <c r="J47" i="2"/>
  <c r="I47" i="2"/>
  <c r="X47" i="2"/>
  <c r="H47" i="2"/>
  <c r="W47" i="2"/>
  <c r="G47" i="2"/>
  <c r="V47" i="2"/>
  <c r="F47" i="2"/>
  <c r="N46" i="2"/>
  <c r="Y46" i="2"/>
  <c r="M46" i="2"/>
  <c r="C46" i="2"/>
  <c r="B46" i="2"/>
  <c r="X46" i="2"/>
  <c r="L46" i="2"/>
  <c r="W46" i="2"/>
  <c r="K46" i="2"/>
  <c r="G46" i="2"/>
  <c r="U46" i="2"/>
  <c r="E46" i="2"/>
  <c r="V46" i="2"/>
  <c r="F46" i="2"/>
  <c r="T46" i="2"/>
  <c r="D46" i="2"/>
  <c r="S46" i="2"/>
  <c r="R46" i="2"/>
  <c r="Q46" i="2"/>
  <c r="P46" i="2"/>
  <c r="O46" i="2"/>
  <c r="J46" i="2"/>
  <c r="I46" i="2"/>
  <c r="H46" i="2"/>
  <c r="Y50" i="2"/>
  <c r="X50" i="2"/>
  <c r="W50" i="2"/>
  <c r="V50" i="2"/>
  <c r="J50" i="2"/>
  <c r="I50" i="2"/>
  <c r="H50" i="2"/>
  <c r="G50" i="2"/>
  <c r="F50" i="2"/>
  <c r="U50" i="2"/>
  <c r="T50" i="2"/>
  <c r="S50" i="2"/>
  <c r="R50" i="2"/>
  <c r="Q50" i="2"/>
  <c r="P50" i="2"/>
  <c r="O50" i="2"/>
  <c r="N50" i="2"/>
  <c r="M50" i="2"/>
  <c r="K50" i="2"/>
  <c r="L50" i="2"/>
  <c r="E50" i="2"/>
  <c r="D50" i="2"/>
  <c r="B50" i="2"/>
  <c r="C50" i="2"/>
  <c r="R48" i="2"/>
  <c r="F48" i="2"/>
  <c r="Q48" i="2"/>
  <c r="E48" i="2"/>
  <c r="P48" i="2"/>
  <c r="D48" i="2"/>
  <c r="O48" i="2"/>
  <c r="S48" i="2"/>
  <c r="M48" i="2"/>
  <c r="N48" i="2"/>
  <c r="L48" i="2"/>
  <c r="U48" i="2"/>
  <c r="K48" i="2"/>
  <c r="J48" i="2"/>
  <c r="Y48" i="2"/>
  <c r="I48" i="2"/>
  <c r="B48" i="2"/>
  <c r="X48" i="2"/>
  <c r="H48" i="2"/>
  <c r="W48" i="2"/>
  <c r="G48" i="2"/>
  <c r="V48" i="2"/>
  <c r="C48" i="2"/>
  <c r="T48" i="2"/>
  <c r="X45" i="2"/>
  <c r="L45" i="2"/>
  <c r="W45" i="2"/>
  <c r="K45" i="2"/>
  <c r="V45" i="2"/>
  <c r="J45" i="2"/>
  <c r="C45" i="2"/>
  <c r="B45" i="2"/>
  <c r="U45" i="2"/>
  <c r="I45" i="2"/>
  <c r="M45" i="2"/>
  <c r="G45" i="2"/>
  <c r="H45" i="2"/>
  <c r="F45" i="2"/>
  <c r="Y45" i="2"/>
  <c r="E45" i="2"/>
  <c r="T45" i="2"/>
  <c r="D45" i="2"/>
  <c r="S45" i="2"/>
  <c r="R45" i="2"/>
  <c r="Q45" i="2"/>
  <c r="P45" i="2"/>
  <c r="O45" i="2"/>
  <c r="N45" i="2"/>
  <c r="V44" i="2"/>
  <c r="J44" i="2"/>
  <c r="U44" i="2"/>
  <c r="I44" i="2"/>
  <c r="T44" i="2"/>
  <c r="H44" i="2"/>
  <c r="S44" i="2"/>
  <c r="G44" i="2"/>
  <c r="C44" i="2"/>
  <c r="B44" i="2"/>
  <c r="O44" i="2"/>
  <c r="M44" i="2"/>
  <c r="N44" i="2"/>
  <c r="L44" i="2"/>
  <c r="K44" i="2"/>
  <c r="F44" i="2"/>
  <c r="Y44" i="2"/>
  <c r="E44" i="2"/>
  <c r="X44" i="2"/>
  <c r="D44" i="2"/>
  <c r="W44" i="2"/>
  <c r="R44" i="2"/>
  <c r="Q44" i="2"/>
  <c r="P44" i="2"/>
  <c r="T49" i="2"/>
  <c r="H49" i="2"/>
  <c r="S49" i="2"/>
  <c r="G49" i="2"/>
  <c r="R49" i="2"/>
  <c r="F49" i="2"/>
  <c r="Q49" i="2"/>
  <c r="E49" i="2"/>
  <c r="P49" i="2"/>
  <c r="M49" i="2"/>
  <c r="K49" i="2"/>
  <c r="L49" i="2"/>
  <c r="J49" i="2"/>
  <c r="I49" i="2"/>
  <c r="Y49" i="2"/>
  <c r="D49" i="2"/>
  <c r="B49" i="2"/>
  <c r="X49" i="2"/>
  <c r="W49" i="2"/>
  <c r="V49" i="2"/>
  <c r="U49" i="2"/>
  <c r="C49" i="2"/>
  <c r="O49" i="2"/>
  <c r="N49" i="2"/>
  <c r="T43" i="2"/>
  <c r="H43" i="2"/>
  <c r="S43" i="2"/>
  <c r="G43" i="2"/>
  <c r="R43" i="2"/>
  <c r="F43" i="2"/>
  <c r="Q43" i="2"/>
  <c r="E43" i="2"/>
  <c r="U43" i="2"/>
  <c r="O43" i="2"/>
  <c r="P43" i="2"/>
  <c r="N43" i="2"/>
  <c r="M43" i="2"/>
  <c r="L43" i="2"/>
  <c r="K43" i="2"/>
  <c r="J43" i="2"/>
  <c r="B43" i="2"/>
  <c r="Y43" i="2"/>
  <c r="I43" i="2"/>
  <c r="X43" i="2"/>
  <c r="D43" i="2"/>
  <c r="W43" i="2"/>
  <c r="V43" i="2"/>
  <c r="C43" i="2"/>
  <c r="X32" i="1"/>
  <c r="X49" i="1" s="1"/>
  <c r="T39" i="1"/>
  <c r="T56" i="1" s="1"/>
  <c r="X40" i="1"/>
  <c r="X57" i="1" s="1"/>
  <c r="T41" i="1"/>
  <c r="T58" i="1" s="1"/>
  <c r="C31" i="1"/>
  <c r="C48" i="1" s="1"/>
  <c r="T33" i="1"/>
  <c r="T50" i="1" s="1"/>
  <c r="L40" i="1"/>
  <c r="L57" i="1" s="1"/>
  <c r="T30" i="1"/>
  <c r="T47" i="1" s="1"/>
  <c r="T31" i="1"/>
  <c r="T48" i="1" s="1"/>
  <c r="X41" i="1"/>
  <c r="X58" i="1" s="1"/>
  <c r="X30" i="1"/>
  <c r="X47" i="1" s="1"/>
  <c r="H31" i="1"/>
  <c r="H48" i="1" s="1"/>
  <c r="X35" i="1"/>
  <c r="X52" i="1" s="1"/>
  <c r="O40" i="1"/>
  <c r="O57" i="1" s="1"/>
  <c r="T34" i="1"/>
  <c r="T51" i="1" s="1"/>
  <c r="T35" i="1"/>
  <c r="T52" i="1" s="1"/>
  <c r="X39" i="1"/>
  <c r="X56" i="1" s="1"/>
  <c r="X34" i="1"/>
  <c r="X51" i="1" s="1"/>
  <c r="X31" i="1"/>
  <c r="X48" i="1" s="1"/>
  <c r="H35" i="1"/>
  <c r="H52" i="1" s="1"/>
  <c r="X37" i="1"/>
  <c r="X54" i="1" s="1"/>
  <c r="H37" i="1"/>
  <c r="H54" i="1" s="1"/>
  <c r="N32" i="1"/>
  <c r="N49" i="1" s="1"/>
  <c r="X33" i="1"/>
  <c r="X50" i="1" s="1"/>
  <c r="X38" i="1"/>
  <c r="X55" i="1" s="1"/>
  <c r="H39" i="1"/>
  <c r="H56" i="1" s="1"/>
  <c r="L39" i="1"/>
  <c r="L56" i="1" s="1"/>
  <c r="C35" i="1"/>
  <c r="C52" i="1" s="1"/>
  <c r="H40" i="1"/>
  <c r="H57" i="1" s="1"/>
  <c r="Q32" i="1"/>
  <c r="Q49" i="1" s="1"/>
  <c r="T40" i="1"/>
  <c r="T57" i="1" s="1"/>
  <c r="H30" i="1"/>
  <c r="H47" i="1" s="1"/>
  <c r="C36" i="1"/>
  <c r="C53" i="1" s="1"/>
  <c r="H41" i="1"/>
  <c r="H58" i="1" s="1"/>
  <c r="T32" i="1"/>
  <c r="T49" i="1" s="1"/>
  <c r="L34" i="1"/>
  <c r="L51" i="1" s="1"/>
  <c r="O39" i="1"/>
  <c r="O56" i="1" s="1"/>
  <c r="K30" i="1"/>
  <c r="K47" i="1" s="1"/>
  <c r="C37" i="1"/>
  <c r="C54" i="1" s="1"/>
  <c r="F40" i="1"/>
  <c r="F57" i="1" s="1"/>
  <c r="K31" i="1"/>
  <c r="K48" i="1" s="1"/>
  <c r="W32" i="1"/>
  <c r="W49" i="1" s="1"/>
  <c r="O34" i="1"/>
  <c r="O51" i="1" s="1"/>
  <c r="L35" i="1"/>
  <c r="L52" i="1" s="1"/>
  <c r="Q39" i="1"/>
  <c r="Q56" i="1" s="1"/>
  <c r="W40" i="1"/>
  <c r="W57" i="1" s="1"/>
  <c r="U37" i="1"/>
  <c r="U54" i="1" s="1"/>
  <c r="Y39" i="1"/>
  <c r="Y56" i="1" s="1"/>
  <c r="S41" i="1"/>
  <c r="S58" i="1" s="1"/>
  <c r="R30" i="1"/>
  <c r="R47" i="1" s="1"/>
  <c r="E35" i="1"/>
  <c r="E52" i="1" s="1"/>
  <c r="R31" i="1"/>
  <c r="R48" i="1" s="1"/>
  <c r="U40" i="1"/>
  <c r="U57" i="1" s="1"/>
  <c r="Y33" i="1"/>
  <c r="Y50" i="1" s="1"/>
  <c r="E30" i="1"/>
  <c r="E47" i="1" s="1"/>
  <c r="S30" i="1"/>
  <c r="S47" i="1" s="1"/>
  <c r="E36" i="1"/>
  <c r="E53" i="1" s="1"/>
  <c r="P32" i="1"/>
  <c r="P49" i="1" s="1"/>
  <c r="Y34" i="1"/>
  <c r="Y51" i="1" s="1"/>
  <c r="Y35" i="1"/>
  <c r="Y52" i="1" s="1"/>
  <c r="N39" i="1"/>
  <c r="N56" i="1" s="1"/>
  <c r="N33" i="1"/>
  <c r="N50" i="1" s="1"/>
  <c r="Y36" i="1"/>
  <c r="Y53" i="1" s="1"/>
  <c r="V41" i="1"/>
  <c r="V58" i="1" s="1"/>
  <c r="U41" i="1"/>
  <c r="U58" i="1" s="1"/>
  <c r="G37" i="1"/>
  <c r="G54" i="1" s="1"/>
  <c r="G38" i="1"/>
  <c r="G55" i="1" s="1"/>
  <c r="Z55" i="1" s="1" a="1"/>
  <c r="Z55" i="1" s="1"/>
  <c r="V31" i="1"/>
  <c r="V48" i="1" s="1"/>
  <c r="R33" i="1"/>
  <c r="R50" i="1" s="1"/>
  <c r="P34" i="1"/>
  <c r="P51" i="1" s="1"/>
  <c r="I38" i="1"/>
  <c r="I55" i="1" s="1"/>
  <c r="Y40" i="1"/>
  <c r="Y57" i="1" s="1"/>
  <c r="Y41" i="1"/>
  <c r="Y58" i="1" s="1"/>
  <c r="I30" i="1"/>
  <c r="I47" i="1" s="1"/>
  <c r="E40" i="1"/>
  <c r="E57" i="1" s="1"/>
  <c r="G40" i="1"/>
  <c r="G57" i="1" s="1"/>
  <c r="I31" i="1"/>
  <c r="I48" i="1" s="1"/>
  <c r="U32" i="1"/>
  <c r="U49" i="1" s="1"/>
  <c r="S33" i="1"/>
  <c r="S50" i="1" s="1"/>
  <c r="P35" i="1"/>
  <c r="P52" i="1" s="1"/>
  <c r="N36" i="1"/>
  <c r="N53" i="1" s="1"/>
  <c r="N38" i="1"/>
  <c r="N55" i="1" s="1"/>
  <c r="R39" i="1"/>
  <c r="R56" i="1" s="1"/>
  <c r="N40" i="1"/>
  <c r="N57" i="1" s="1"/>
  <c r="I41" i="1"/>
  <c r="I58" i="1" s="1"/>
  <c r="E37" i="1"/>
  <c r="E54" i="1" s="1"/>
  <c r="G30" i="1"/>
  <c r="G47" i="1" s="1"/>
  <c r="E38" i="1"/>
  <c r="E55" i="1" s="1"/>
  <c r="S32" i="1"/>
  <c r="S49" i="1" s="1"/>
  <c r="R34" i="1"/>
  <c r="R51" i="1" s="1"/>
  <c r="N37" i="1"/>
  <c r="N54" i="1" s="1"/>
  <c r="S39" i="1"/>
  <c r="S56" i="1" s="1"/>
  <c r="N41" i="1"/>
  <c r="N58" i="1" s="1"/>
  <c r="Y31" i="1"/>
  <c r="Y48" i="1" s="1"/>
  <c r="S34" i="1"/>
  <c r="S51" i="1" s="1"/>
  <c r="R35" i="1"/>
  <c r="R52" i="1" s="1"/>
  <c r="P36" i="1"/>
  <c r="P53" i="1" s="1"/>
  <c r="S38" i="1"/>
  <c r="S55" i="1" s="1"/>
  <c r="P40" i="1"/>
  <c r="P57" i="1" s="1"/>
  <c r="O41" i="1"/>
  <c r="O58" i="1" s="1"/>
  <c r="S31" i="1"/>
  <c r="S48" i="1" s="1"/>
  <c r="P41" i="1"/>
  <c r="P58" i="1" s="1"/>
  <c r="U30" i="1"/>
  <c r="U47" i="1" s="1"/>
  <c r="U31" i="1"/>
  <c r="U48" i="1" s="1"/>
  <c r="N35" i="1"/>
  <c r="N52" i="1" s="1"/>
  <c r="Y37" i="1"/>
  <c r="Y54" i="1" s="1"/>
  <c r="P39" i="1"/>
  <c r="P56" i="1" s="1"/>
  <c r="V30" i="1"/>
  <c r="V47" i="1" s="1"/>
  <c r="E39" i="1"/>
  <c r="E56" i="1" s="1"/>
  <c r="G39" i="1"/>
  <c r="G56" i="1" s="1"/>
  <c r="E41" i="1"/>
  <c r="E58" i="1" s="1"/>
  <c r="G41" i="1"/>
  <c r="G58" i="1" s="1"/>
  <c r="V32" i="1"/>
  <c r="V49" i="1" s="1"/>
  <c r="R38" i="1"/>
  <c r="R55" i="1" s="1"/>
  <c r="Y30" i="1"/>
  <c r="Y47" i="1" s="1"/>
  <c r="E31" i="1"/>
  <c r="E48" i="1" s="1"/>
  <c r="G31" i="1"/>
  <c r="G48" i="1" s="1"/>
  <c r="U33" i="1"/>
  <c r="U50" i="1" s="1"/>
  <c r="N30" i="1"/>
  <c r="N47" i="1" s="1"/>
  <c r="E32" i="1"/>
  <c r="E49" i="1" s="1"/>
  <c r="F32" i="1"/>
  <c r="F49" i="1" s="1"/>
  <c r="G32" i="1"/>
  <c r="G49" i="1" s="1"/>
  <c r="H32" i="1"/>
  <c r="H49" i="1" s="1"/>
  <c r="N31" i="1"/>
  <c r="N48" i="1" s="1"/>
  <c r="I32" i="1"/>
  <c r="I49" i="1" s="1"/>
  <c r="V33" i="1"/>
  <c r="V50" i="1" s="1"/>
  <c r="S35" i="1"/>
  <c r="S52" i="1" s="1"/>
  <c r="Q36" i="1"/>
  <c r="Q53" i="1" s="1"/>
  <c r="P37" i="1"/>
  <c r="P54" i="1" s="1"/>
  <c r="V38" i="1"/>
  <c r="V55" i="1" s="1"/>
  <c r="U39" i="1"/>
  <c r="U56" i="1" s="1"/>
  <c r="Q40" i="1"/>
  <c r="Q57" i="1" s="1"/>
  <c r="O30" i="1"/>
  <c r="O47" i="1" s="1"/>
  <c r="E33" i="1"/>
  <c r="E50" i="1" s="1"/>
  <c r="F33" i="1"/>
  <c r="F50" i="1" s="1"/>
  <c r="G33" i="1"/>
  <c r="G50" i="1" s="1"/>
  <c r="H33" i="1"/>
  <c r="H50" i="1" s="1"/>
  <c r="O31" i="1"/>
  <c r="O48" i="1" s="1"/>
  <c r="Y32" i="1"/>
  <c r="Y49" i="1" s="1"/>
  <c r="U34" i="1"/>
  <c r="U51" i="1" s="1"/>
  <c r="R36" i="1"/>
  <c r="R53" i="1" s="1"/>
  <c r="Q37" i="1"/>
  <c r="Q54" i="1" s="1"/>
  <c r="R40" i="1"/>
  <c r="R57" i="1" s="1"/>
  <c r="Q41" i="1"/>
  <c r="Q58" i="1" s="1"/>
  <c r="P30" i="1"/>
  <c r="P47" i="1" s="1"/>
  <c r="H34" i="1"/>
  <c r="H51" i="1" s="1"/>
  <c r="Z51" i="1" s="1" a="1"/>
  <c r="Z51" i="1" s="1"/>
  <c r="P31" i="1"/>
  <c r="P48" i="1" s="1"/>
  <c r="I33" i="1"/>
  <c r="I50" i="1" s="1"/>
  <c r="V34" i="1"/>
  <c r="V51" i="1" s="1"/>
  <c r="V35" i="1"/>
  <c r="V52" i="1" s="1"/>
  <c r="S36" i="1"/>
  <c r="S53" i="1" s="1"/>
  <c r="S37" i="1"/>
  <c r="S54" i="1" s="1"/>
  <c r="R41" i="1"/>
  <c r="R58" i="1" s="1"/>
  <c r="Y38" i="1"/>
  <c r="Y55" i="1" s="1"/>
  <c r="W41" i="1"/>
  <c r="W58" i="1" s="1"/>
  <c r="W38" i="1"/>
  <c r="W55" i="1" s="1"/>
  <c r="U38" i="1"/>
  <c r="U55" i="1" s="1"/>
  <c r="U35" i="1"/>
  <c r="U52" i="1" s="1"/>
  <c r="T38" i="1"/>
  <c r="T55" i="1" s="1"/>
  <c r="T36" i="1"/>
  <c r="T53" i="1" s="1"/>
  <c r="R32" i="1"/>
  <c r="R49" i="1" s="1"/>
  <c r="Q38" i="1"/>
  <c r="Q55" i="1" s="1"/>
  <c r="P38" i="1"/>
  <c r="P55" i="1" s="1"/>
  <c r="N34" i="1"/>
  <c r="N51" i="1" s="1"/>
  <c r="M34" i="1"/>
  <c r="M51" i="1" s="1"/>
  <c r="M30" i="1"/>
  <c r="M47" i="1" s="1"/>
  <c r="L37" i="1"/>
  <c r="L54" i="1" s="1"/>
  <c r="K41" i="1"/>
  <c r="K58" i="1" s="1"/>
  <c r="J34" i="1"/>
  <c r="J51" i="1" s="1"/>
  <c r="J36" i="1"/>
  <c r="J53" i="1" s="1"/>
  <c r="J32" i="1"/>
  <c r="J49" i="1" s="1"/>
  <c r="J37" i="1"/>
  <c r="J54" i="1" s="1"/>
  <c r="J30" i="1"/>
  <c r="J47" i="1" s="1"/>
  <c r="J35" i="1"/>
  <c r="J52" i="1" s="1"/>
  <c r="J38" i="1"/>
  <c r="J55" i="1" s="1"/>
  <c r="J33" i="1"/>
  <c r="J50" i="1" s="1"/>
  <c r="J31" i="1"/>
  <c r="J48" i="1" s="1"/>
  <c r="J41" i="1"/>
  <c r="J58" i="1" s="1"/>
  <c r="M31" i="1"/>
  <c r="M48" i="1" s="1"/>
  <c r="M35" i="1"/>
  <c r="M52" i="1" s="1"/>
  <c r="M41" i="1"/>
  <c r="M58" i="1" s="1"/>
  <c r="L38" i="1"/>
  <c r="L55" i="1" s="1"/>
  <c r="L41" i="1"/>
  <c r="L58" i="1" s="1"/>
  <c r="H36" i="1"/>
  <c r="H53" i="1" s="1"/>
  <c r="B65" i="1" l="1"/>
  <c r="G65" i="1"/>
  <c r="Q65" i="1"/>
  <c r="W65" i="1"/>
  <c r="F65" i="1"/>
  <c r="I65" i="1"/>
  <c r="C65" i="1"/>
  <c r="K65" i="1"/>
  <c r="D65" i="1"/>
  <c r="E65" i="1"/>
  <c r="B69" i="1"/>
  <c r="O69" i="1"/>
  <c r="H69" i="1"/>
  <c r="F69" i="1"/>
  <c r="D69" i="1"/>
  <c r="K69" i="1"/>
  <c r="M69" i="1"/>
  <c r="C69" i="1"/>
  <c r="S69" i="1"/>
  <c r="M72" i="1"/>
  <c r="J65" i="1"/>
  <c r="U69" i="1"/>
  <c r="P61" i="1"/>
  <c r="O61" i="1"/>
  <c r="X69" i="1"/>
  <c r="X66" i="1"/>
  <c r="I69" i="1"/>
  <c r="X61" i="1"/>
  <c r="W72" i="1"/>
  <c r="Y69" i="1"/>
  <c r="N69" i="1"/>
  <c r="P65" i="1"/>
  <c r="E68" i="1"/>
  <c r="Q72" i="1"/>
  <c r="U68" i="1"/>
  <c r="M61" i="1"/>
  <c r="R67" i="1"/>
  <c r="N67" i="1"/>
  <c r="Z53" i="1" a="1"/>
  <c r="Z53" i="1" s="1"/>
  <c r="Z58" i="1" a="1"/>
  <c r="Z58" i="1" s="1"/>
  <c r="I72" i="1" s="1"/>
  <c r="L69" i="1"/>
  <c r="K61" i="1"/>
  <c r="Q71" i="1"/>
  <c r="H62" i="1"/>
  <c r="S65" i="1"/>
  <c r="N65" i="1"/>
  <c r="S61" i="1"/>
  <c r="T61" i="1"/>
  <c r="J67" i="1"/>
  <c r="W69" i="1"/>
  <c r="Y71" i="1"/>
  <c r="Y65" i="1"/>
  <c r="Q68" i="1"/>
  <c r="H65" i="1"/>
  <c r="V69" i="1"/>
  <c r="P68" i="1"/>
  <c r="E67" i="1"/>
  <c r="U65" i="1"/>
  <c r="J69" i="1"/>
  <c r="U61" i="1"/>
  <c r="E61" i="1"/>
  <c r="R69" i="1"/>
  <c r="Z49" i="1" a="1"/>
  <c r="Z49" i="1" s="1"/>
  <c r="S63" i="1" s="1"/>
  <c r="G63" i="1"/>
  <c r="H70" i="1"/>
  <c r="L65" i="1"/>
  <c r="M65" i="1"/>
  <c r="S68" i="1"/>
  <c r="U62" i="1"/>
  <c r="H61" i="1"/>
  <c r="P69" i="1"/>
  <c r="G69" i="1"/>
  <c r="Q69" i="1"/>
  <c r="P72" i="1"/>
  <c r="U63" i="1"/>
  <c r="T64" i="1"/>
  <c r="U71" i="1"/>
  <c r="H71" i="1"/>
  <c r="X70" i="1"/>
  <c r="Z48" i="1" a="1"/>
  <c r="Z48" i="1" s="1"/>
  <c r="Z47" i="1" a="1"/>
  <c r="Z47" i="1" s="1"/>
  <c r="V61" i="1"/>
  <c r="N61" i="1"/>
  <c r="Y68" i="1"/>
  <c r="R72" i="1"/>
  <c r="N66" i="1"/>
  <c r="J64" i="1"/>
  <c r="S67" i="1"/>
  <c r="Y61" i="1"/>
  <c r="O65" i="1"/>
  <c r="L71" i="1"/>
  <c r="V66" i="1"/>
  <c r="O62" i="1"/>
  <c r="R65" i="1"/>
  <c r="G68" i="1"/>
  <c r="V65" i="1"/>
  <c r="H67" i="1"/>
  <c r="J68" i="1"/>
  <c r="T67" i="1"/>
  <c r="I64" i="1"/>
  <c r="G64" i="1"/>
  <c r="G72" i="1"/>
  <c r="E69" i="1"/>
  <c r="Z52" i="1" a="1"/>
  <c r="Z52" i="1" s="1"/>
  <c r="S66" i="1" s="1"/>
  <c r="T66" i="1"/>
  <c r="T72" i="1"/>
  <c r="I61" i="1"/>
  <c r="X65" i="1"/>
  <c r="T69" i="1"/>
  <c r="E72" i="1"/>
  <c r="P71" i="1"/>
  <c r="G61" i="1"/>
  <c r="E71" i="1"/>
  <c r="Z57" i="1" a="1"/>
  <c r="Z57" i="1" s="1"/>
  <c r="Y67" i="1"/>
  <c r="Z54" i="1" a="1"/>
  <c r="Z54" i="1" s="1"/>
  <c r="H68" i="1" s="1"/>
  <c r="T65" i="1"/>
  <c r="Z50" i="1" a="1"/>
  <c r="Z50" i="1" s="1"/>
  <c r="S64" i="1" s="1"/>
  <c r="Z56" i="1" a="1"/>
  <c r="Z56" i="1" s="1"/>
  <c r="N70" i="1" s="1"/>
  <c r="Z44" i="2" a="1"/>
  <c r="Z44" i="2" s="1"/>
  <c r="Z43" i="2" a="1"/>
  <c r="Z43" i="2" s="1"/>
  <c r="Z49" i="2" a="1"/>
  <c r="Z49" i="2" s="1"/>
  <c r="Z46" i="2" a="1"/>
  <c r="Z46" i="2" s="1"/>
  <c r="Z50" i="2" a="1"/>
  <c r="Z50" i="2" s="1"/>
  <c r="Z45" i="2" a="1"/>
  <c r="Z45" i="2" s="1"/>
  <c r="Z48" i="2" a="1"/>
  <c r="Z48" i="2" s="1"/>
  <c r="Z47" i="2" a="1"/>
  <c r="Z47" i="2" s="1"/>
  <c r="B62" i="1" l="1"/>
  <c r="Q62" i="1"/>
  <c r="W62" i="1"/>
  <c r="F62" i="1"/>
  <c r="D62" i="1"/>
  <c r="L62" i="1"/>
  <c r="R66" i="1"/>
  <c r="P66" i="1"/>
  <c r="U66" i="1"/>
  <c r="B71" i="1"/>
  <c r="I71" i="1"/>
  <c r="D71" i="1"/>
  <c r="M71" i="1"/>
  <c r="J71" i="1"/>
  <c r="V71" i="1"/>
  <c r="S71" i="1"/>
  <c r="C71" i="1"/>
  <c r="K71" i="1"/>
  <c r="N62" i="1"/>
  <c r="N72" i="1"/>
  <c r="C62" i="1"/>
  <c r="Y64" i="1"/>
  <c r="V62" i="1"/>
  <c r="K72" i="1"/>
  <c r="E62" i="1"/>
  <c r="T71" i="1"/>
  <c r="M62" i="1"/>
  <c r="X63" i="1"/>
  <c r="V64" i="1"/>
  <c r="X64" i="1"/>
  <c r="O70" i="1"/>
  <c r="C66" i="1"/>
  <c r="J62" i="1"/>
  <c r="N71" i="1"/>
  <c r="S72" i="1"/>
  <c r="B70" i="1"/>
  <c r="C70" i="1"/>
  <c r="W70" i="1"/>
  <c r="M70" i="1"/>
  <c r="F70" i="1"/>
  <c r="D70" i="1"/>
  <c r="K70" i="1"/>
  <c r="V70" i="1"/>
  <c r="I70" i="1"/>
  <c r="J70" i="1"/>
  <c r="R64" i="1"/>
  <c r="F71" i="1"/>
  <c r="J66" i="1"/>
  <c r="M66" i="1"/>
  <c r="R62" i="1"/>
  <c r="I62" i="1"/>
  <c r="Y62" i="1"/>
  <c r="N63" i="1"/>
  <c r="T62" i="1"/>
  <c r="X72" i="1"/>
  <c r="L70" i="1"/>
  <c r="P62" i="1"/>
  <c r="V72" i="1"/>
  <c r="I63" i="1"/>
  <c r="J72" i="1"/>
  <c r="U70" i="1"/>
  <c r="X68" i="1"/>
  <c r="B63" i="1"/>
  <c r="D63" i="1"/>
  <c r="C63" i="1"/>
  <c r="L63" i="1"/>
  <c r="O63" i="1"/>
  <c r="M63" i="1"/>
  <c r="K63" i="1"/>
  <c r="T63" i="1"/>
  <c r="Q63" i="1"/>
  <c r="B72" i="1"/>
  <c r="D72" i="1"/>
  <c r="F72" i="1"/>
  <c r="C72" i="1"/>
  <c r="X62" i="1"/>
  <c r="B68" i="1"/>
  <c r="W68" i="1"/>
  <c r="K68" i="1"/>
  <c r="D68" i="1"/>
  <c r="Z68" i="1" s="1" a="1"/>
  <c r="Z68" i="1" s="1"/>
  <c r="T68" i="1"/>
  <c r="F68" i="1"/>
  <c r="R68" i="1"/>
  <c r="O68" i="1"/>
  <c r="V68" i="1"/>
  <c r="I68" i="1"/>
  <c r="M68" i="1"/>
  <c r="G71" i="1"/>
  <c r="H66" i="1"/>
  <c r="O71" i="1"/>
  <c r="V63" i="1"/>
  <c r="N68" i="1"/>
  <c r="R70" i="1"/>
  <c r="Y63" i="1"/>
  <c r="Y66" i="1"/>
  <c r="B67" i="1"/>
  <c r="I67" i="1"/>
  <c r="X67" i="1"/>
  <c r="W67" i="1"/>
  <c r="L67" i="1"/>
  <c r="O67" i="1"/>
  <c r="M67" i="1"/>
  <c r="D67" i="1"/>
  <c r="K67" i="1"/>
  <c r="U67" i="1"/>
  <c r="F67" i="1"/>
  <c r="G67" i="1"/>
  <c r="V67" i="1"/>
  <c r="H72" i="1"/>
  <c r="P67" i="1"/>
  <c r="P70" i="1"/>
  <c r="B64" i="1"/>
  <c r="D64" i="1"/>
  <c r="K64" i="1"/>
  <c r="Q64" i="1"/>
  <c r="W64" i="1"/>
  <c r="M64" i="1"/>
  <c r="O64" i="1"/>
  <c r="L64" i="1"/>
  <c r="P64" i="1"/>
  <c r="C64" i="1"/>
  <c r="X71" i="1"/>
  <c r="U72" i="1"/>
  <c r="F64" i="1"/>
  <c r="Y70" i="1"/>
  <c r="G70" i="1"/>
  <c r="C68" i="1"/>
  <c r="J63" i="1"/>
  <c r="R63" i="1"/>
  <c r="S70" i="1"/>
  <c r="E64" i="1"/>
  <c r="H64" i="1"/>
  <c r="R71" i="1"/>
  <c r="E63" i="1"/>
  <c r="C67" i="1"/>
  <c r="W71" i="1"/>
  <c r="L68" i="1"/>
  <c r="E70" i="1"/>
  <c r="Z69" i="1" a="1"/>
  <c r="Z69" i="1" s="1"/>
  <c r="B66" i="1"/>
  <c r="G66" i="1"/>
  <c r="W66" i="1"/>
  <c r="I66" i="1"/>
  <c r="Q66" i="1"/>
  <c r="F66" i="1"/>
  <c r="D66" i="1"/>
  <c r="O66" i="1"/>
  <c r="K66" i="1"/>
  <c r="K62" i="1"/>
  <c r="G62" i="1"/>
  <c r="H63" i="1"/>
  <c r="T70" i="1"/>
  <c r="S62" i="1"/>
  <c r="Y72" i="1"/>
  <c r="E66" i="1"/>
  <c r="L72" i="1"/>
  <c r="O72" i="1"/>
  <c r="W63" i="1"/>
  <c r="Q67" i="1"/>
  <c r="B61" i="1"/>
  <c r="D61" i="1"/>
  <c r="L61" i="1"/>
  <c r="Q61" i="1"/>
  <c r="C61" i="1"/>
  <c r="W61" i="1"/>
  <c r="F61" i="1"/>
  <c r="J61" i="1"/>
  <c r="L66" i="1"/>
  <c r="R61" i="1"/>
  <c r="U64" i="1"/>
  <c r="Q70" i="1"/>
  <c r="P63" i="1"/>
  <c r="N64" i="1"/>
  <c r="F63" i="1"/>
  <c r="Z65" i="1" a="1"/>
  <c r="Z65" i="1" s="1"/>
  <c r="Z70" i="1" l="1" a="1"/>
  <c r="Z70" i="1" s="1"/>
  <c r="Z72" i="1" a="1"/>
  <c r="Z72" i="1" s="1"/>
  <c r="Z71" i="1" a="1"/>
  <c r="Z71" i="1" s="1"/>
  <c r="Z64" i="1" a="1"/>
  <c r="Z64" i="1" s="1"/>
  <c r="Z63" i="1" a="1"/>
  <c r="Z63" i="1" s="1"/>
  <c r="Z66" i="1" a="1"/>
  <c r="Z66" i="1" s="1"/>
  <c r="Z67" i="1" a="1"/>
  <c r="Z67" i="1" s="1"/>
  <c r="Z61" i="1" a="1"/>
  <c r="Z61" i="1" s="1"/>
  <c r="Z62" i="1" a="1"/>
  <c r="Z6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<sst xmlns="http://schemas.openxmlformats.org/spreadsheetml/2006/main" count="724" uniqueCount="63">
  <si>
    <t>PD$</t>
  </si>
  <si>
    <t>MFP$</t>
  </si>
  <si>
    <t>CY$</t>
  </si>
  <si>
    <t>NM$1994</t>
  </si>
  <si>
    <t>NM$2000</t>
  </si>
  <si>
    <t>NM$2006</t>
  </si>
  <si>
    <t>NM$2010</t>
  </si>
  <si>
    <t>NM$2014</t>
  </si>
  <si>
    <t>NM$2017</t>
  </si>
  <si>
    <t>NM$2018</t>
  </si>
  <si>
    <t>NM$2021</t>
  </si>
  <si>
    <t>NM$2025</t>
  </si>
  <si>
    <t>CORRELATIONS</t>
  </si>
  <si>
    <t>SD(PTA)</t>
  </si>
  <si>
    <t>Expected Genetic Progress</t>
  </si>
  <si>
    <t>Copied from above using "paste values" since the transpose option wasn't correctly updating the references.</t>
  </si>
  <si>
    <t>Transpose of the above from the copy below ca. A69.</t>
  </si>
  <si>
    <t>These results are from /home/jcole/python/toomanytraits/sas on CDCBdev1.</t>
  </si>
  <si>
    <t>Cole 2025 Supplemental Table 3 Expected Genetic Progress.xlsx</t>
  </si>
  <si>
    <t>MILK</t>
  </si>
  <si>
    <t>FAT</t>
  </si>
  <si>
    <t>PROTEIN</t>
  </si>
  <si>
    <t>SCS</t>
  </si>
  <si>
    <t>PL</t>
  </si>
  <si>
    <t>BWC</t>
  </si>
  <si>
    <t>UDC</t>
  </si>
  <si>
    <t>FLC</t>
  </si>
  <si>
    <t>DPR</t>
  </si>
  <si>
    <t>CT$</t>
  </si>
  <si>
    <t>HCR</t>
  </si>
  <si>
    <t>CCR</t>
  </si>
  <si>
    <t>LIV</t>
  </si>
  <si>
    <t>GL</t>
  </si>
  <si>
    <t>HTH$</t>
  </si>
  <si>
    <t>RFI</t>
  </si>
  <si>
    <t>CALC</t>
  </si>
  <si>
    <t>DSAB</t>
  </si>
  <si>
    <t>KETO</t>
  </si>
  <si>
    <t>MAST</t>
  </si>
  <si>
    <t>METR</t>
  </si>
  <si>
    <t>RETP</t>
  </si>
  <si>
    <t>EFC</t>
  </si>
  <si>
    <t>HLIV</t>
  </si>
  <si>
    <t>NM$2025 Value</t>
  </si>
  <si>
    <t>Total</t>
  </si>
  <si>
    <t>Economic Value of Expected Genetic Progress</t>
  </si>
  <si>
    <t>This worksheet calculates expected genetic response using the method of VanRaden et al. (2025), as well as estimates of the economic value of that progress.</t>
  </si>
  <si>
    <t>This worksheet calculates estimates of the economic value of selection index responses to selection.</t>
  </si>
  <si>
    <t>Economic Value of Correlated Response to Selection</t>
  </si>
  <si>
    <t>Milk</t>
  </si>
  <si>
    <t>Fat</t>
  </si>
  <si>
    <t>Protein</t>
  </si>
  <si>
    <t>UC</t>
  </si>
  <si>
    <t>CA$</t>
  </si>
  <si>
    <t>MFEV</t>
  </si>
  <si>
    <r>
      <t>BSC/BWC</t>
    </r>
    <r>
      <rPr>
        <b/>
        <vertAlign val="superscript"/>
        <sz val="12"/>
        <color rgb="FF000000"/>
        <rFont val="Aptos Narrow"/>
        <scheme val="minor"/>
      </rPr>
      <t>3</t>
    </r>
  </si>
  <si>
    <t>Doing a little transposition to get things into the proper shapes. These values are from the table "Correlated response to selection (PTA change/year) for traits and composites included in USDA selection indices, 1971–2025." in the manuscript.</t>
  </si>
  <si>
    <t>Correlated Response to Selection</t>
  </si>
  <si>
    <t>Transposed version of values for Table 6.</t>
  </si>
  <si>
    <t>Transposed version of values for Table 5.</t>
  </si>
  <si>
    <t>Difference in Selection Response</t>
  </si>
  <si>
    <t>Difference Relative to NM$2025</t>
  </si>
  <si>
    <t>Difference in Selection Response in SD(PTA)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</si>
</sst>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1" formatCode="0.0000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vertAlign val="superscript"/>
      <sz val="12"/>
      <color rgb="FF000000"/>
      <name val="Aptos Narrow"/>
      <scheme val="minor"/>
    </font>
    <font>
      <sz val="13"/>
      <color theme="1"/>
      <name val="Menlo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9" fillId="0" borderId="0" xfId="0" applyFont="1"/>
    <xf numFmtId="0" fontId="18" fillId="34" borderId="0" xfId="0" applyFont="1" applyFill="1"/>
    <xf numFmtId="0" fontId="0" fillId="34" borderId="0" xfId="0" applyFill="1"/>
    <xf numFmtId="0" fontId="18" fillId="35" borderId="0" xfId="0" applyFont="1" applyFill="1"/>
    <xf numFmtId="0" fontId="0" fillId="35" borderId="0" xfId="0" applyFill="1"/>
    <xf numFmtId="0" fontId="18" fillId="36" borderId="0" xfId="0" applyFont="1" applyFill="1"/>
    <xf numFmtId="0" fontId="0" fillId="36" borderId="0" xfId="0" applyFill="1"/>
    <xf numFmtId="44" fontId="0" fillId="0" borderId="0" xfId="42" applyFont="1"/>
    <xf numFmtId="0" fontId="19" fillId="0" borderId="0" xfId="0" applyFont="1" applyBorder="1"/>
    <xf numFmtId="0" fontId="20" fillId="0" borderId="0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18" fillId="0" borderId="0" xfId="0" applyFont="1" applyBorder="1"/>
    <xf numFmtId="0" fontId="19" fillId="0" borderId="0" xfId="0" applyFont="1" applyBorder="1" applyAlignment="1">
      <alignment horizontal="right" vertical="center" wrapText="1"/>
    </xf>
    <xf numFmtId="44" fontId="19" fillId="0" borderId="0" xfId="0" applyNumberFormat="1" applyFont="1" applyBorder="1" applyAlignment="1">
      <alignment horizontal="right" vertical="center" wrapText="1"/>
    </xf>
    <xf numFmtId="0" fontId="18" fillId="0" borderId="0" xfId="0" applyFont="1" applyFill="1" applyBorder="1"/>
    <xf numFmtId="171" fontId="0" fillId="0" borderId="0" xfId="0" applyNumberFormat="1"/>
    <xf numFmtId="0" fontId="22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4D69-6C82-B046-90B4-BB05B6AF2553}">
  <dimension ref="A1:Z192"/>
  <sheetViews>
    <sheetView topLeftCell="A11" zoomScale="125" workbookViewId="0">
      <selection activeCell="A22" sqref="A22:XFD25"/>
    </sheetView>
  </sheetViews>
  <sheetFormatPr baseColWidth="10" defaultRowHeight="16" x14ac:dyDescent="0.2"/>
  <cols>
    <col min="1" max="1" width="15.83203125" customWidth="1"/>
  </cols>
  <sheetData>
    <row r="1" spans="1:25" x14ac:dyDescent="0.2">
      <c r="A1" s="1" t="s">
        <v>18</v>
      </c>
    </row>
    <row r="2" spans="1:25" x14ac:dyDescent="0.2">
      <c r="A2" s="1"/>
    </row>
    <row r="3" spans="1:25" x14ac:dyDescent="0.2">
      <c r="A3" t="s">
        <v>46</v>
      </c>
    </row>
    <row r="4" spans="1:25" x14ac:dyDescent="0.2">
      <c r="A4" t="s">
        <v>17</v>
      </c>
    </row>
    <row r="6" spans="1:25" s="3" customFormat="1" x14ac:dyDescent="0.2">
      <c r="A6" s="2" t="s">
        <v>12</v>
      </c>
    </row>
    <row r="8" spans="1:25" x14ac:dyDescent="0.2">
      <c r="B8" s="1" t="s">
        <v>19</v>
      </c>
      <c r="C8" s="1" t="s">
        <v>20</v>
      </c>
      <c r="D8" s="1" t="s">
        <v>21</v>
      </c>
      <c r="E8" s="1" t="s">
        <v>23</v>
      </c>
      <c r="F8" s="1" t="s">
        <v>22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32</v>
      </c>
      <c r="P8" s="1" t="s">
        <v>33</v>
      </c>
      <c r="Q8" s="1" t="s">
        <v>34</v>
      </c>
      <c r="R8" s="1" t="s">
        <v>35</v>
      </c>
      <c r="S8" s="1" t="s">
        <v>36</v>
      </c>
      <c r="T8" s="1" t="s">
        <v>37</v>
      </c>
      <c r="U8" s="1" t="s">
        <v>38</v>
      </c>
      <c r="V8" s="1" t="s">
        <v>39</v>
      </c>
      <c r="W8" s="1" t="s">
        <v>40</v>
      </c>
      <c r="X8" s="1" t="s">
        <v>41</v>
      </c>
      <c r="Y8" s="1" t="s">
        <v>42</v>
      </c>
    </row>
    <row r="9" spans="1:25" x14ac:dyDescent="0.2">
      <c r="A9" s="1" t="s">
        <v>0</v>
      </c>
      <c r="B9">
        <v>0.81699999999999995</v>
      </c>
      <c r="C9">
        <v>0.79700000000000004</v>
      </c>
      <c r="D9">
        <v>0.88400000000000001</v>
      </c>
      <c r="E9">
        <v>0.20100000000000001</v>
      </c>
      <c r="F9">
        <v>7.5999999999999998E-2</v>
      </c>
      <c r="G9">
        <v>-0.22900000000000001</v>
      </c>
      <c r="H9">
        <v>0.106</v>
      </c>
      <c r="I9">
        <v>-0.105</v>
      </c>
      <c r="J9">
        <v>-0.46700000000000003</v>
      </c>
      <c r="K9">
        <v>0.20499999999999999</v>
      </c>
      <c r="L9">
        <v>8.9999999999999993E-3</v>
      </c>
      <c r="M9">
        <v>-0.251</v>
      </c>
      <c r="N9">
        <v>-0.16</v>
      </c>
      <c r="O9">
        <v>-0.192</v>
      </c>
      <c r="P9">
        <v>0.04</v>
      </c>
      <c r="Q9">
        <v>-8.0000000000000002E-3</v>
      </c>
      <c r="R9">
        <v>3.5999999999999997E-2</v>
      </c>
      <c r="S9">
        <v>0.08</v>
      </c>
      <c r="T9">
        <v>-1.7999999999999999E-2</v>
      </c>
      <c r="U9">
        <v>-0.14699999999999999</v>
      </c>
      <c r="V9">
        <v>0.246</v>
      </c>
      <c r="W9">
        <v>-6.6000000000000003E-2</v>
      </c>
      <c r="X9">
        <v>0.36399999999999999</v>
      </c>
      <c r="Y9">
        <v>2.7E-2</v>
      </c>
    </row>
    <row r="10" spans="1:25" x14ac:dyDescent="0.2">
      <c r="A10" s="1" t="s">
        <v>1</v>
      </c>
      <c r="B10">
        <v>0.63400000000000001</v>
      </c>
      <c r="C10">
        <v>0.90600000000000003</v>
      </c>
      <c r="D10">
        <v>0.91100000000000003</v>
      </c>
      <c r="E10">
        <v>0.25700000000000001</v>
      </c>
      <c r="F10">
        <v>1.9E-2</v>
      </c>
      <c r="G10">
        <v>-0.19500000000000001</v>
      </c>
      <c r="H10">
        <v>0.124</v>
      </c>
      <c r="I10">
        <v>-6.6000000000000003E-2</v>
      </c>
      <c r="J10">
        <v>-0.40799999999999997</v>
      </c>
      <c r="K10">
        <v>0.25</v>
      </c>
      <c r="L10">
        <v>2.4E-2</v>
      </c>
      <c r="M10">
        <v>-0.191</v>
      </c>
      <c r="N10">
        <v>-0.1</v>
      </c>
      <c r="O10">
        <v>-0.21</v>
      </c>
      <c r="P10">
        <v>0.13</v>
      </c>
      <c r="Q10">
        <v>-2E-3</v>
      </c>
      <c r="R10">
        <v>5.7000000000000002E-2</v>
      </c>
      <c r="S10">
        <v>0.111</v>
      </c>
      <c r="T10">
        <v>4.7E-2</v>
      </c>
      <c r="U10">
        <v>-5.8000000000000003E-2</v>
      </c>
      <c r="V10">
        <v>0.308</v>
      </c>
      <c r="W10">
        <v>-4.7E-2</v>
      </c>
      <c r="X10">
        <v>0.373</v>
      </c>
      <c r="Y10">
        <v>6.0000000000000001E-3</v>
      </c>
    </row>
    <row r="11" spans="1:25" x14ac:dyDescent="0.2">
      <c r="A11" s="1" t="s">
        <v>2</v>
      </c>
      <c r="B11">
        <v>0.504</v>
      </c>
      <c r="C11">
        <v>0.96099999999999997</v>
      </c>
      <c r="D11">
        <v>0.84099999999999997</v>
      </c>
      <c r="E11">
        <v>0.26700000000000002</v>
      </c>
      <c r="F11">
        <v>-1.4E-2</v>
      </c>
      <c r="G11">
        <v>-0.192</v>
      </c>
      <c r="H11">
        <v>0.126</v>
      </c>
      <c r="I11">
        <v>-4.9000000000000002E-2</v>
      </c>
      <c r="J11">
        <v>-0.377</v>
      </c>
      <c r="K11">
        <v>0.26200000000000001</v>
      </c>
      <c r="L11">
        <v>3.7999999999999999E-2</v>
      </c>
      <c r="M11">
        <v>-0.16700000000000001</v>
      </c>
      <c r="N11">
        <v>-6.5000000000000002E-2</v>
      </c>
      <c r="O11">
        <v>-0.19700000000000001</v>
      </c>
      <c r="P11">
        <v>0.16200000000000001</v>
      </c>
      <c r="Q11">
        <v>8.0000000000000002E-3</v>
      </c>
      <c r="R11">
        <v>7.2999999999999995E-2</v>
      </c>
      <c r="S11">
        <v>0.121</v>
      </c>
      <c r="T11">
        <v>4.3999999999999997E-2</v>
      </c>
      <c r="U11">
        <v>-1.6E-2</v>
      </c>
      <c r="V11">
        <v>0.32200000000000001</v>
      </c>
      <c r="W11">
        <v>-3.7999999999999999E-2</v>
      </c>
      <c r="X11">
        <v>0.35599999999999998</v>
      </c>
      <c r="Y11">
        <v>2E-3</v>
      </c>
    </row>
    <row r="12" spans="1:25" x14ac:dyDescent="0.2">
      <c r="A12" s="1" t="s">
        <v>3</v>
      </c>
      <c r="B12">
        <v>0.55600000000000005</v>
      </c>
      <c r="C12">
        <v>0.86099999999999999</v>
      </c>
      <c r="D12">
        <v>0.85099999999999998</v>
      </c>
      <c r="E12">
        <v>0.57199999999999995</v>
      </c>
      <c r="F12">
        <v>-0.23300000000000001</v>
      </c>
      <c r="G12">
        <v>-0.252</v>
      </c>
      <c r="H12">
        <v>0.14699999999999999</v>
      </c>
      <c r="I12">
        <v>-7.2999999999999995E-2</v>
      </c>
      <c r="J12">
        <v>-0.20200000000000001</v>
      </c>
      <c r="K12">
        <v>0.35099999999999998</v>
      </c>
      <c r="L12">
        <v>0.14099999999999999</v>
      </c>
      <c r="M12">
        <v>0.03</v>
      </c>
      <c r="N12">
        <v>0.151</v>
      </c>
      <c r="O12">
        <v>-0.20799999999999999</v>
      </c>
      <c r="P12">
        <v>0.36499999999999999</v>
      </c>
      <c r="Q12">
        <v>-5.8999999999999997E-2</v>
      </c>
      <c r="R12">
        <v>0.11600000000000001</v>
      </c>
      <c r="S12">
        <v>0.24299999999999999</v>
      </c>
      <c r="T12">
        <v>0.17799999999999999</v>
      </c>
      <c r="U12">
        <v>0.17499999999999999</v>
      </c>
      <c r="V12">
        <v>0.42099999999999999</v>
      </c>
      <c r="W12">
        <v>2.1000000000000001E-2</v>
      </c>
      <c r="X12">
        <v>0.41199999999999998</v>
      </c>
      <c r="Y12">
        <v>9.4E-2</v>
      </c>
    </row>
    <row r="13" spans="1:25" x14ac:dyDescent="0.2">
      <c r="A13" s="1" t="s">
        <v>4</v>
      </c>
      <c r="B13">
        <v>0.55100000000000005</v>
      </c>
      <c r="C13">
        <v>0.81599999999999995</v>
      </c>
      <c r="D13">
        <v>0.84699999999999998</v>
      </c>
      <c r="E13">
        <v>0.59599999999999997</v>
      </c>
      <c r="F13">
        <v>-0.27800000000000002</v>
      </c>
      <c r="G13">
        <v>-0.251</v>
      </c>
      <c r="H13">
        <v>0.27800000000000002</v>
      </c>
      <c r="I13">
        <v>1.9E-2</v>
      </c>
      <c r="J13">
        <v>-0.19</v>
      </c>
      <c r="K13">
        <v>0.33800000000000002</v>
      </c>
      <c r="L13">
        <v>0.152</v>
      </c>
      <c r="M13">
        <v>3.7999999999999999E-2</v>
      </c>
      <c r="N13">
        <v>0.13</v>
      </c>
      <c r="O13">
        <v>-0.19</v>
      </c>
      <c r="P13">
        <v>0.379</v>
      </c>
      <c r="Q13">
        <v>-6.4000000000000001E-2</v>
      </c>
      <c r="R13">
        <v>0.108</v>
      </c>
      <c r="S13">
        <v>0.23699999999999999</v>
      </c>
      <c r="T13">
        <v>0.19700000000000001</v>
      </c>
      <c r="U13">
        <v>0.21099999999999999</v>
      </c>
      <c r="V13">
        <v>0.41099999999999998</v>
      </c>
      <c r="W13">
        <v>1.6E-2</v>
      </c>
      <c r="X13">
        <v>0.39200000000000002</v>
      </c>
      <c r="Y13">
        <v>0.106</v>
      </c>
    </row>
    <row r="14" spans="1:25" x14ac:dyDescent="0.2">
      <c r="A14" s="1" t="s">
        <v>5</v>
      </c>
      <c r="B14">
        <v>0.36</v>
      </c>
      <c r="C14">
        <v>0.79500000000000004</v>
      </c>
      <c r="D14">
        <v>0.70599999999999996</v>
      </c>
      <c r="E14">
        <v>0.72</v>
      </c>
      <c r="F14">
        <v>-0.371</v>
      </c>
      <c r="G14">
        <v>-0.26900000000000002</v>
      </c>
      <c r="H14">
        <v>0.255</v>
      </c>
      <c r="I14">
        <v>1.9E-2</v>
      </c>
      <c r="J14">
        <v>5.2999999999999999E-2</v>
      </c>
      <c r="K14">
        <v>0.45500000000000002</v>
      </c>
      <c r="L14">
        <v>0.26100000000000001</v>
      </c>
      <c r="M14">
        <v>0.25900000000000001</v>
      </c>
      <c r="N14">
        <v>0.28499999999999998</v>
      </c>
      <c r="O14">
        <v>-0.188</v>
      </c>
      <c r="P14">
        <v>0.49399999999999999</v>
      </c>
      <c r="Q14">
        <v>-7.5999999999999998E-2</v>
      </c>
      <c r="R14">
        <v>0.13800000000000001</v>
      </c>
      <c r="S14">
        <v>0.28499999999999998</v>
      </c>
      <c r="T14">
        <v>0.24299999999999999</v>
      </c>
      <c r="U14">
        <v>0.32400000000000001</v>
      </c>
      <c r="V14">
        <v>0.48199999999999998</v>
      </c>
      <c r="W14">
        <v>6.4000000000000001E-2</v>
      </c>
      <c r="X14">
        <v>0.41</v>
      </c>
      <c r="Y14">
        <v>0.125</v>
      </c>
    </row>
    <row r="15" spans="1:25" x14ac:dyDescent="0.2">
      <c r="A15" s="1" t="s">
        <v>6</v>
      </c>
      <c r="B15">
        <v>0.312</v>
      </c>
      <c r="C15">
        <v>0.75800000000000001</v>
      </c>
      <c r="D15">
        <v>0.65</v>
      </c>
      <c r="E15">
        <v>0.76700000000000002</v>
      </c>
      <c r="F15">
        <v>-0.41099999999999998</v>
      </c>
      <c r="G15">
        <v>-0.30099999999999999</v>
      </c>
      <c r="H15">
        <v>0.251</v>
      </c>
      <c r="I15">
        <v>1.7000000000000001E-2</v>
      </c>
      <c r="J15">
        <v>0.121</v>
      </c>
      <c r="K15">
        <v>0.46500000000000002</v>
      </c>
      <c r="L15">
        <v>0.29099999999999998</v>
      </c>
      <c r="M15">
        <v>0.32100000000000001</v>
      </c>
      <c r="N15">
        <v>0.33800000000000002</v>
      </c>
      <c r="O15">
        <v>-0.18</v>
      </c>
      <c r="P15">
        <v>0.52700000000000002</v>
      </c>
      <c r="Q15">
        <v>-8.5000000000000006E-2</v>
      </c>
      <c r="R15">
        <v>0.14599999999999999</v>
      </c>
      <c r="S15">
        <v>0.30099999999999999</v>
      </c>
      <c r="T15">
        <v>0.254</v>
      </c>
      <c r="U15">
        <v>0.36399999999999999</v>
      </c>
      <c r="V15">
        <v>0.49199999999999999</v>
      </c>
      <c r="W15">
        <v>7.6999999999999999E-2</v>
      </c>
      <c r="X15">
        <v>0.40500000000000003</v>
      </c>
      <c r="Y15">
        <v>0.13900000000000001</v>
      </c>
    </row>
    <row r="16" spans="1:25" x14ac:dyDescent="0.2">
      <c r="A16" s="1" t="s">
        <v>7</v>
      </c>
      <c r="B16">
        <v>0.40200000000000002</v>
      </c>
      <c r="C16">
        <v>0.84899999999999998</v>
      </c>
      <c r="D16">
        <v>0.754</v>
      </c>
      <c r="E16">
        <v>0.65100000000000002</v>
      </c>
      <c r="F16">
        <v>-0.30299999999999999</v>
      </c>
      <c r="G16">
        <v>-0.27800000000000002</v>
      </c>
      <c r="H16">
        <v>0.251</v>
      </c>
      <c r="I16">
        <v>5.0000000000000001E-3</v>
      </c>
      <c r="J16">
        <v>-5.0999999999999997E-2</v>
      </c>
      <c r="K16">
        <v>0.432</v>
      </c>
      <c r="L16">
        <v>0.23499999999999999</v>
      </c>
      <c r="M16">
        <v>0.16900000000000001</v>
      </c>
      <c r="N16">
        <v>0.221</v>
      </c>
      <c r="O16">
        <v>-0.19400000000000001</v>
      </c>
      <c r="P16">
        <v>0.438</v>
      </c>
      <c r="Q16">
        <v>-6.8000000000000005E-2</v>
      </c>
      <c r="R16">
        <v>0.129</v>
      </c>
      <c r="S16">
        <v>0.26300000000000001</v>
      </c>
      <c r="T16">
        <v>0.20899999999999999</v>
      </c>
      <c r="U16">
        <v>0.26100000000000001</v>
      </c>
      <c r="V16">
        <v>0.45900000000000002</v>
      </c>
      <c r="W16">
        <v>3.9E-2</v>
      </c>
      <c r="X16">
        <v>0.41199999999999998</v>
      </c>
      <c r="Y16">
        <v>0.108</v>
      </c>
    </row>
    <row r="17" spans="1:25" x14ac:dyDescent="0.2">
      <c r="A17" s="1" t="s">
        <v>8</v>
      </c>
      <c r="B17">
        <v>0.36499999999999999</v>
      </c>
      <c r="C17">
        <v>0.85499999999999998</v>
      </c>
      <c r="D17">
        <v>0.72199999999999998</v>
      </c>
      <c r="E17">
        <v>0.66500000000000004</v>
      </c>
      <c r="F17">
        <v>-0.29899999999999999</v>
      </c>
      <c r="G17">
        <v>-0.311</v>
      </c>
      <c r="H17">
        <v>0.21199999999999999</v>
      </c>
      <c r="I17">
        <v>-0.02</v>
      </c>
      <c r="J17">
        <v>-3.3000000000000002E-2</v>
      </c>
      <c r="K17">
        <v>0.44900000000000001</v>
      </c>
      <c r="L17">
        <v>0.23799999999999999</v>
      </c>
      <c r="M17">
        <v>0.183</v>
      </c>
      <c r="N17">
        <v>0.29799999999999999</v>
      </c>
      <c r="O17">
        <v>-0.20200000000000001</v>
      </c>
      <c r="P17">
        <v>0.45100000000000001</v>
      </c>
      <c r="Q17">
        <v>-7.1999999999999995E-2</v>
      </c>
      <c r="R17">
        <v>0.14399999999999999</v>
      </c>
      <c r="S17">
        <v>0.28000000000000003</v>
      </c>
      <c r="T17">
        <v>0.20899999999999999</v>
      </c>
      <c r="U17">
        <v>0.26400000000000001</v>
      </c>
      <c r="V17">
        <v>0.47099999999999997</v>
      </c>
      <c r="W17">
        <v>4.7E-2</v>
      </c>
      <c r="X17">
        <v>0.40899999999999997</v>
      </c>
      <c r="Y17">
        <v>0.113</v>
      </c>
    </row>
    <row r="18" spans="1:25" x14ac:dyDescent="0.2">
      <c r="A18" s="1" t="s">
        <v>9</v>
      </c>
      <c r="B18">
        <v>0.35</v>
      </c>
      <c r="C18">
        <v>0.874</v>
      </c>
      <c r="D18">
        <v>0.71499999999999997</v>
      </c>
      <c r="E18">
        <v>0.64400000000000002</v>
      </c>
      <c r="F18">
        <v>-0.27500000000000002</v>
      </c>
      <c r="G18">
        <v>-0.29899999999999999</v>
      </c>
      <c r="H18">
        <v>0.20799999999999999</v>
      </c>
      <c r="I18">
        <v>-1.6E-2</v>
      </c>
      <c r="J18">
        <v>-4.2000000000000003E-2</v>
      </c>
      <c r="K18">
        <v>0.44500000000000001</v>
      </c>
      <c r="L18">
        <v>0.23400000000000001</v>
      </c>
      <c r="M18">
        <v>0.17199999999999999</v>
      </c>
      <c r="N18">
        <v>0.28799999999999998</v>
      </c>
      <c r="O18">
        <v>-0.20100000000000001</v>
      </c>
      <c r="P18">
        <v>0.45700000000000002</v>
      </c>
      <c r="Q18">
        <v>-6.6000000000000003E-2</v>
      </c>
      <c r="R18">
        <v>0.151</v>
      </c>
      <c r="S18">
        <v>0.28899999999999998</v>
      </c>
      <c r="T18">
        <v>0.21099999999999999</v>
      </c>
      <c r="U18">
        <v>0.25600000000000001</v>
      </c>
      <c r="V18">
        <v>0.48299999999999998</v>
      </c>
      <c r="W18">
        <v>5.7000000000000002E-2</v>
      </c>
      <c r="X18">
        <v>0.40500000000000003</v>
      </c>
      <c r="Y18">
        <v>0.10299999999999999</v>
      </c>
    </row>
    <row r="19" spans="1:25" x14ac:dyDescent="0.2">
      <c r="A19" s="1" t="s">
        <v>10</v>
      </c>
      <c r="B19">
        <v>0.40400000000000003</v>
      </c>
      <c r="C19">
        <v>0.82499999999999996</v>
      </c>
      <c r="D19">
        <v>0.72699999999999998</v>
      </c>
      <c r="E19">
        <v>0.68</v>
      </c>
      <c r="F19">
        <v>-0.26900000000000002</v>
      </c>
      <c r="G19">
        <v>-0.40699999999999997</v>
      </c>
      <c r="H19">
        <v>0.128</v>
      </c>
      <c r="I19">
        <v>-9.7000000000000003E-2</v>
      </c>
      <c r="J19">
        <v>-4.2000000000000003E-2</v>
      </c>
      <c r="K19">
        <v>0.46500000000000002</v>
      </c>
      <c r="L19">
        <v>0.245</v>
      </c>
      <c r="M19">
        <v>0.182</v>
      </c>
      <c r="N19">
        <v>0.32100000000000001</v>
      </c>
      <c r="O19">
        <v>-0.219</v>
      </c>
      <c r="P19">
        <v>0.45700000000000002</v>
      </c>
      <c r="Q19">
        <v>-0.19600000000000001</v>
      </c>
      <c r="R19">
        <v>0.13700000000000001</v>
      </c>
      <c r="S19">
        <v>0.307</v>
      </c>
      <c r="T19">
        <v>0.20799999999999999</v>
      </c>
      <c r="U19">
        <v>0.24099999999999999</v>
      </c>
      <c r="V19">
        <v>0.48599999999999999</v>
      </c>
      <c r="W19">
        <v>5.3999999999999999E-2</v>
      </c>
      <c r="X19">
        <v>0.44400000000000001</v>
      </c>
      <c r="Y19">
        <v>0.125</v>
      </c>
    </row>
    <row r="20" spans="1:25" x14ac:dyDescent="0.2">
      <c r="A20" s="1" t="s">
        <v>11</v>
      </c>
      <c r="B20">
        <v>0.39900000000000002</v>
      </c>
      <c r="C20">
        <v>0.83799999999999997</v>
      </c>
      <c r="D20">
        <v>0.70199999999999996</v>
      </c>
      <c r="E20">
        <v>0.65800000000000003</v>
      </c>
      <c r="F20">
        <v>-0.247</v>
      </c>
      <c r="G20">
        <v>-0.45200000000000001</v>
      </c>
      <c r="H20">
        <v>7.9000000000000001E-2</v>
      </c>
      <c r="I20">
        <v>-0.128</v>
      </c>
      <c r="J20">
        <v>-6.7000000000000004E-2</v>
      </c>
      <c r="K20">
        <v>0.46400000000000002</v>
      </c>
      <c r="L20">
        <v>0.23799999999999999</v>
      </c>
      <c r="M20">
        <v>0.16</v>
      </c>
      <c r="N20">
        <v>0.33300000000000002</v>
      </c>
      <c r="O20">
        <v>-0.219</v>
      </c>
      <c r="P20">
        <v>0.435</v>
      </c>
      <c r="Q20">
        <v>-0.20599999999999999</v>
      </c>
      <c r="R20">
        <v>0.13800000000000001</v>
      </c>
      <c r="S20">
        <v>0.30299999999999999</v>
      </c>
      <c r="T20">
        <v>0.17899999999999999</v>
      </c>
      <c r="U20">
        <v>0.217</v>
      </c>
      <c r="V20">
        <v>0.47699999999999998</v>
      </c>
      <c r="W20">
        <v>4.7E-2</v>
      </c>
      <c r="X20">
        <v>0.438</v>
      </c>
      <c r="Y20">
        <v>0.125</v>
      </c>
    </row>
    <row r="22" spans="1:25" s="6" customFormat="1" x14ac:dyDescent="0.2">
      <c r="A22" s="5" t="s">
        <v>13</v>
      </c>
    </row>
    <row r="24" spans="1:25" x14ac:dyDescent="0.2">
      <c r="B24" s="1" t="s">
        <v>19</v>
      </c>
      <c r="C24" s="1" t="s">
        <v>20</v>
      </c>
      <c r="D24" s="1" t="s">
        <v>21</v>
      </c>
      <c r="E24" s="1" t="s">
        <v>23</v>
      </c>
      <c r="F24" s="1" t="s">
        <v>22</v>
      </c>
      <c r="G24" s="1" t="s">
        <v>24</v>
      </c>
      <c r="H24" s="1" t="s">
        <v>25</v>
      </c>
      <c r="I24" s="1" t="s">
        <v>26</v>
      </c>
      <c r="J24" s="1" t="s">
        <v>27</v>
      </c>
      <c r="K24" s="1" t="s">
        <v>28</v>
      </c>
      <c r="L24" s="1" t="s">
        <v>29</v>
      </c>
      <c r="M24" s="1" t="s">
        <v>30</v>
      </c>
      <c r="N24" s="1" t="s">
        <v>31</v>
      </c>
      <c r="O24" s="1" t="s">
        <v>32</v>
      </c>
      <c r="P24" s="1" t="s">
        <v>33</v>
      </c>
      <c r="Q24" s="1" t="s">
        <v>34</v>
      </c>
      <c r="R24" s="1" t="s">
        <v>35</v>
      </c>
      <c r="S24" s="1" t="s">
        <v>36</v>
      </c>
      <c r="T24" s="1" t="s">
        <v>37</v>
      </c>
      <c r="U24" s="1" t="s">
        <v>38</v>
      </c>
      <c r="V24" s="1" t="s">
        <v>39</v>
      </c>
      <c r="W24" s="1" t="s">
        <v>40</v>
      </c>
      <c r="X24" s="1" t="s">
        <v>41</v>
      </c>
      <c r="Y24" s="1" t="s">
        <v>42</v>
      </c>
    </row>
    <row r="25" spans="1:25" x14ac:dyDescent="0.2">
      <c r="A25" s="1" t="s">
        <v>13</v>
      </c>
      <c r="B25" s="4">
        <v>569.30978370000003</v>
      </c>
      <c r="C25" s="4">
        <v>27.0161999</v>
      </c>
      <c r="D25" s="4">
        <v>15.022717500000001</v>
      </c>
      <c r="E25" s="4">
        <v>1.502996</v>
      </c>
      <c r="F25" s="4">
        <v>0.13181280000000001</v>
      </c>
      <c r="G25" s="4">
        <v>0.78293889999999999</v>
      </c>
      <c r="H25" s="4">
        <v>0.63791109999999995</v>
      </c>
      <c r="I25" s="4">
        <v>0.57483439999999997</v>
      </c>
      <c r="J25" s="4">
        <v>1.3243748</v>
      </c>
      <c r="K25" s="4">
        <v>11.619646700000001</v>
      </c>
      <c r="L25" s="4">
        <v>1.3651709000000001</v>
      </c>
      <c r="M25" s="4">
        <v>1.5964205</v>
      </c>
      <c r="N25" s="4">
        <v>1.7613121</v>
      </c>
      <c r="O25" s="4">
        <v>1.0843798</v>
      </c>
      <c r="P25" s="4">
        <v>7.6034129000000004</v>
      </c>
      <c r="Q25" s="4">
        <v>81.205561700000004</v>
      </c>
      <c r="R25" s="4">
        <v>0.1066399</v>
      </c>
      <c r="S25" s="4">
        <v>0.39555000000000001</v>
      </c>
      <c r="T25" s="4">
        <v>0.70513380000000003</v>
      </c>
      <c r="U25" s="4">
        <v>1.4217225</v>
      </c>
      <c r="V25" s="4">
        <v>0.72635919999999998</v>
      </c>
      <c r="W25" s="4">
        <v>0.4412182</v>
      </c>
      <c r="X25" s="4">
        <v>2.1448757999999999</v>
      </c>
      <c r="Y25" s="4">
        <v>0.44678210000000002</v>
      </c>
    </row>
    <row r="27" spans="1:25" s="8" customFormat="1" x14ac:dyDescent="0.2">
      <c r="A27" s="7" t="s">
        <v>14</v>
      </c>
    </row>
    <row r="29" spans="1:25" x14ac:dyDescent="0.2">
      <c r="B29" s="1" t="s">
        <v>19</v>
      </c>
      <c r="C29" s="1" t="s">
        <v>20</v>
      </c>
      <c r="D29" s="1" t="s">
        <v>21</v>
      </c>
      <c r="E29" s="1" t="s">
        <v>23</v>
      </c>
      <c r="F29" s="1" t="s">
        <v>22</v>
      </c>
      <c r="G29" s="1" t="s">
        <v>24</v>
      </c>
      <c r="H29" s="1" t="s">
        <v>25</v>
      </c>
      <c r="I29" s="1" t="s">
        <v>26</v>
      </c>
      <c r="J29" s="1" t="s">
        <v>27</v>
      </c>
      <c r="K29" s="1" t="s">
        <v>28</v>
      </c>
      <c r="L29" s="1" t="s">
        <v>29</v>
      </c>
      <c r="M29" s="1" t="s">
        <v>30</v>
      </c>
      <c r="N29" s="1" t="s">
        <v>31</v>
      </c>
      <c r="O29" s="1" t="s">
        <v>32</v>
      </c>
      <c r="P29" s="1" t="s">
        <v>33</v>
      </c>
      <c r="Q29" s="1" t="s">
        <v>34</v>
      </c>
      <c r="R29" s="1" t="s">
        <v>35</v>
      </c>
      <c r="S29" s="1" t="s">
        <v>36</v>
      </c>
      <c r="T29" s="1" t="s">
        <v>37</v>
      </c>
      <c r="U29" s="1" t="s">
        <v>38</v>
      </c>
      <c r="V29" s="1" t="s">
        <v>39</v>
      </c>
      <c r="W29" s="1" t="s">
        <v>40</v>
      </c>
      <c r="X29" s="1" t="s">
        <v>41</v>
      </c>
      <c r="Y29" s="1" t="s">
        <v>42</v>
      </c>
    </row>
    <row r="30" spans="1:25" x14ac:dyDescent="0.2">
      <c r="A30" s="1" t="s">
        <v>0</v>
      </c>
      <c r="B30">
        <f>B9*B25*0.35</f>
        <v>162.79413264901498</v>
      </c>
      <c r="C30">
        <f t="shared" ref="C30:Y30" si="0">C9*C$25*0.35</f>
        <v>7.5361689621050001</v>
      </c>
      <c r="D30">
        <f t="shared" si="0"/>
        <v>4.6480287945000001</v>
      </c>
      <c r="E30">
        <f t="shared" si="0"/>
        <v>0.10573576860000002</v>
      </c>
      <c r="F30">
        <f t="shared" si="0"/>
        <v>3.5062204799999998E-3</v>
      </c>
      <c r="G30">
        <f t="shared" si="0"/>
        <v>-6.2752552835000003E-2</v>
      </c>
      <c r="H30">
        <f t="shared" si="0"/>
        <v>2.3666501809999997E-2</v>
      </c>
      <c r="I30">
        <f t="shared" si="0"/>
        <v>-2.1125164199999994E-2</v>
      </c>
      <c r="J30">
        <f t="shared" si="0"/>
        <v>-0.21646906106000002</v>
      </c>
      <c r="K30">
        <f t="shared" si="0"/>
        <v>0.83370965072499992</v>
      </c>
      <c r="L30">
        <f t="shared" si="0"/>
        <v>4.3002883349999993E-3</v>
      </c>
      <c r="M30">
        <f t="shared" si="0"/>
        <v>-0.140245540925</v>
      </c>
      <c r="N30">
        <f t="shared" si="0"/>
        <v>-9.8633477600000005E-2</v>
      </c>
      <c r="O30">
        <f t="shared" si="0"/>
        <v>-7.2870322559999992E-2</v>
      </c>
      <c r="P30">
        <f t="shared" si="0"/>
        <v>0.1064477806</v>
      </c>
      <c r="Q30">
        <f t="shared" si="0"/>
        <v>-0.22737557276000001</v>
      </c>
      <c r="R30">
        <f t="shared" si="0"/>
        <v>1.3436627399999997E-3</v>
      </c>
      <c r="S30">
        <f t="shared" si="0"/>
        <v>1.1075399999999999E-2</v>
      </c>
      <c r="T30">
        <f t="shared" si="0"/>
        <v>-4.442342939999999E-3</v>
      </c>
      <c r="U30">
        <f t="shared" si="0"/>
        <v>-7.3147622624999992E-2</v>
      </c>
      <c r="V30">
        <f t="shared" si="0"/>
        <v>6.2539527119999994E-2</v>
      </c>
      <c r="W30">
        <f t="shared" si="0"/>
        <v>-1.0192140420000001E-2</v>
      </c>
      <c r="X30">
        <f t="shared" si="0"/>
        <v>0.27325717691999996</v>
      </c>
      <c r="Y30">
        <f t="shared" si="0"/>
        <v>4.2220908450000001E-3</v>
      </c>
    </row>
    <row r="31" spans="1:25" x14ac:dyDescent="0.2">
      <c r="A31" s="1" t="s">
        <v>1</v>
      </c>
      <c r="B31">
        <f>B10*B25*0.35</f>
        <v>126.32984100303</v>
      </c>
      <c r="C31">
        <f t="shared" ref="C31:Y31" si="1">C10*C$25*0.35</f>
        <v>8.5668369882899995</v>
      </c>
      <c r="D31">
        <f t="shared" si="1"/>
        <v>4.7899934748749997</v>
      </c>
      <c r="E31">
        <f t="shared" si="1"/>
        <v>0.13519449019999999</v>
      </c>
      <c r="F31">
        <f t="shared" si="1"/>
        <v>8.7655511999999995E-4</v>
      </c>
      <c r="G31">
        <f t="shared" si="1"/>
        <v>-5.3435579924999997E-2</v>
      </c>
      <c r="H31">
        <f t="shared" si="1"/>
        <v>2.7685341739999998E-2</v>
      </c>
      <c r="I31">
        <f t="shared" si="1"/>
        <v>-1.3278674639999998E-2</v>
      </c>
      <c r="J31">
        <f t="shared" si="1"/>
        <v>-0.18912072143999997</v>
      </c>
      <c r="K31">
        <f t="shared" si="1"/>
        <v>1.01671908625</v>
      </c>
      <c r="L31">
        <f t="shared" si="1"/>
        <v>1.1467435560000001E-2</v>
      </c>
      <c r="M31">
        <f t="shared" si="1"/>
        <v>-0.106720710425</v>
      </c>
      <c r="N31">
        <f t="shared" si="1"/>
        <v>-6.1645923499999998E-2</v>
      </c>
      <c r="O31">
        <f t="shared" si="1"/>
        <v>-7.9701915299999995E-2</v>
      </c>
      <c r="P31">
        <f t="shared" si="1"/>
        <v>0.34595528695000005</v>
      </c>
      <c r="Q31">
        <f t="shared" si="1"/>
        <v>-5.6843893190000001E-2</v>
      </c>
      <c r="R31">
        <f t="shared" si="1"/>
        <v>2.1274660049999997E-3</v>
      </c>
      <c r="S31">
        <f t="shared" si="1"/>
        <v>1.5367117499999999E-2</v>
      </c>
      <c r="T31">
        <f t="shared" si="1"/>
        <v>1.1599451009999999E-2</v>
      </c>
      <c r="U31">
        <f t="shared" si="1"/>
        <v>-2.8860966749999998E-2</v>
      </c>
      <c r="V31">
        <f t="shared" si="1"/>
        <v>7.8301521759999992E-2</v>
      </c>
      <c r="W31">
        <f t="shared" si="1"/>
        <v>-7.2580393900000002E-3</v>
      </c>
      <c r="X31">
        <f t="shared" si="1"/>
        <v>0.28001353568999993</v>
      </c>
      <c r="Y31">
        <f t="shared" si="1"/>
        <v>9.3824241000000004E-4</v>
      </c>
    </row>
    <row r="32" spans="1:25" x14ac:dyDescent="0.2">
      <c r="A32" s="1" t="s">
        <v>2</v>
      </c>
      <c r="B32">
        <f>B11*B25*0.35</f>
        <v>100.42624584468001</v>
      </c>
      <c r="C32">
        <f t="shared" ref="C32:Y32" si="2">C11*C$25*0.35</f>
        <v>9.0868988363650001</v>
      </c>
      <c r="D32">
        <f t="shared" si="2"/>
        <v>4.4219368961249996</v>
      </c>
      <c r="E32">
        <f t="shared" si="2"/>
        <v>0.1404549762</v>
      </c>
      <c r="F32">
        <f t="shared" si="2"/>
        <v>-6.4588272000000002E-4</v>
      </c>
      <c r="G32">
        <f t="shared" si="2"/>
        <v>-5.2613494079999996E-2</v>
      </c>
      <c r="H32">
        <f t="shared" si="2"/>
        <v>2.8131879509999996E-2</v>
      </c>
      <c r="I32">
        <f t="shared" si="2"/>
        <v>-9.8584099599999999E-3</v>
      </c>
      <c r="J32">
        <f t="shared" si="2"/>
        <v>-0.17475125485999998</v>
      </c>
      <c r="K32">
        <f t="shared" si="2"/>
        <v>1.06552160239</v>
      </c>
      <c r="L32">
        <f t="shared" si="2"/>
        <v>1.8156772970000002E-2</v>
      </c>
      <c r="M32">
        <f t="shared" si="2"/>
        <v>-9.3310778225000002E-2</v>
      </c>
      <c r="N32">
        <f t="shared" si="2"/>
        <v>-4.0069850274999999E-2</v>
      </c>
      <c r="O32">
        <f t="shared" si="2"/>
        <v>-7.4767987209999998E-2</v>
      </c>
      <c r="P32">
        <f t="shared" si="2"/>
        <v>0.43111351142999998</v>
      </c>
      <c r="Q32">
        <f t="shared" si="2"/>
        <v>0.22737557276000001</v>
      </c>
      <c r="R32">
        <f t="shared" si="2"/>
        <v>2.7246494449999995E-3</v>
      </c>
      <c r="S32">
        <f t="shared" si="2"/>
        <v>1.6751542500000001E-2</v>
      </c>
      <c r="T32">
        <f t="shared" si="2"/>
        <v>1.085906052E-2</v>
      </c>
      <c r="U32">
        <f t="shared" si="2"/>
        <v>-7.9616459999999993E-3</v>
      </c>
      <c r="V32">
        <f t="shared" si="2"/>
        <v>8.1860681839999991E-2</v>
      </c>
      <c r="W32">
        <f t="shared" si="2"/>
        <v>-5.8682020600000001E-3</v>
      </c>
      <c r="X32">
        <f t="shared" si="2"/>
        <v>0.26725152467999996</v>
      </c>
      <c r="Y32">
        <f t="shared" si="2"/>
        <v>3.1274747000000001E-4</v>
      </c>
    </row>
    <row r="33" spans="1:26" x14ac:dyDescent="0.2">
      <c r="A33" s="1" t="s">
        <v>3</v>
      </c>
      <c r="B33">
        <f>B12*B25*0.35</f>
        <v>110.78768390802001</v>
      </c>
      <c r="C33">
        <f t="shared" ref="C33:Y33" si="3">C12*C$25*0.35</f>
        <v>8.1413318398649999</v>
      </c>
      <c r="D33">
        <f t="shared" si="3"/>
        <v>4.4745164073749999</v>
      </c>
      <c r="E33">
        <f t="shared" si="3"/>
        <v>0.30089979919999993</v>
      </c>
      <c r="F33">
        <f t="shared" si="3"/>
        <v>-1.074933384E-2</v>
      </c>
      <c r="G33">
        <f t="shared" si="3"/>
        <v>-6.905521097999999E-2</v>
      </c>
      <c r="H33">
        <f t="shared" si="3"/>
        <v>3.2820526094999997E-2</v>
      </c>
      <c r="I33">
        <f t="shared" si="3"/>
        <v>-1.4687018919999998E-2</v>
      </c>
      <c r="J33">
        <f t="shared" si="3"/>
        <v>-9.3633298359999992E-2</v>
      </c>
      <c r="K33">
        <f t="shared" si="3"/>
        <v>1.4274735970949999</v>
      </c>
      <c r="L33">
        <f t="shared" si="3"/>
        <v>6.7371183914999994E-2</v>
      </c>
      <c r="M33">
        <f t="shared" si="3"/>
        <v>1.6762415249999999E-2</v>
      </c>
      <c r="N33">
        <f t="shared" si="3"/>
        <v>9.3085344484999999E-2</v>
      </c>
      <c r="O33">
        <f t="shared" si="3"/>
        <v>-7.894284943999999E-2</v>
      </c>
      <c r="P33">
        <f t="shared" si="3"/>
        <v>0.97133599797499992</v>
      </c>
      <c r="Q33">
        <f t="shared" si="3"/>
        <v>-1.6768948491049998</v>
      </c>
      <c r="R33">
        <f t="shared" si="3"/>
        <v>4.3295799399999998E-3</v>
      </c>
      <c r="S33">
        <f t="shared" si="3"/>
        <v>3.3641527499999997E-2</v>
      </c>
      <c r="T33">
        <f t="shared" si="3"/>
        <v>4.3929835739999999E-2</v>
      </c>
      <c r="U33">
        <f t="shared" si="3"/>
        <v>8.7080503124999986E-2</v>
      </c>
      <c r="V33">
        <f t="shared" si="3"/>
        <v>0.10702902811999998</v>
      </c>
      <c r="W33">
        <f t="shared" si="3"/>
        <v>3.2429537700000002E-3</v>
      </c>
      <c r="X33">
        <f t="shared" si="3"/>
        <v>0.30929109035999997</v>
      </c>
      <c r="Y33">
        <f t="shared" si="3"/>
        <v>1.4699131089999999E-2</v>
      </c>
    </row>
    <row r="34" spans="1:26" x14ac:dyDescent="0.2">
      <c r="A34" s="1" t="s">
        <v>4</v>
      </c>
      <c r="B34">
        <f>B13*B25*0.35</f>
        <v>109.79139178654502</v>
      </c>
      <c r="C34">
        <f t="shared" ref="C34:Y34" si="4">C13*C$25*0.35</f>
        <v>7.7158266914399993</v>
      </c>
      <c r="D34">
        <f t="shared" si="4"/>
        <v>4.4534846028750001</v>
      </c>
      <c r="E34">
        <f t="shared" si="4"/>
        <v>0.31352496559999998</v>
      </c>
      <c r="F34">
        <f t="shared" si="4"/>
        <v>-1.282538544E-2</v>
      </c>
      <c r="G34">
        <f t="shared" si="4"/>
        <v>-6.8781182364999999E-2</v>
      </c>
      <c r="H34">
        <f t="shared" si="4"/>
        <v>6.2068750029999994E-2</v>
      </c>
      <c r="I34">
        <f t="shared" si="4"/>
        <v>3.8226487599999997E-3</v>
      </c>
      <c r="J34">
        <f t="shared" si="4"/>
        <v>-8.8070924199999998E-2</v>
      </c>
      <c r="K34">
        <f t="shared" si="4"/>
        <v>1.37460420461</v>
      </c>
      <c r="L34">
        <f t="shared" si="4"/>
        <v>7.2627091880000008E-2</v>
      </c>
      <c r="M34">
        <f t="shared" si="4"/>
        <v>2.1232392649999998E-2</v>
      </c>
      <c r="N34">
        <f t="shared" si="4"/>
        <v>8.0139700549999998E-2</v>
      </c>
      <c r="O34">
        <f t="shared" si="4"/>
        <v>-7.2111256699999987E-2</v>
      </c>
      <c r="P34">
        <f t="shared" si="4"/>
        <v>1.0085927211850001</v>
      </c>
      <c r="Q34">
        <f t="shared" si="4"/>
        <v>-1.81900458208</v>
      </c>
      <c r="R34">
        <f t="shared" si="4"/>
        <v>4.0309882200000001E-3</v>
      </c>
      <c r="S34">
        <f t="shared" si="4"/>
        <v>3.2810872499999998E-2</v>
      </c>
      <c r="T34">
        <f t="shared" si="4"/>
        <v>4.8618975510000002E-2</v>
      </c>
      <c r="U34">
        <f t="shared" si="4"/>
        <v>0.10499420662499999</v>
      </c>
      <c r="V34">
        <f t="shared" si="4"/>
        <v>0.10448677091999999</v>
      </c>
      <c r="W34">
        <f t="shared" si="4"/>
        <v>2.47082192E-3</v>
      </c>
      <c r="X34">
        <f t="shared" si="4"/>
        <v>0.29427695976000001</v>
      </c>
      <c r="Y34">
        <f t="shared" si="4"/>
        <v>1.6575615910000001E-2</v>
      </c>
    </row>
    <row r="35" spans="1:26" x14ac:dyDescent="0.2">
      <c r="A35" s="1" t="s">
        <v>5</v>
      </c>
      <c r="B35">
        <f>B14*B25*0.35</f>
        <v>71.733032746199996</v>
      </c>
      <c r="C35">
        <f t="shared" ref="C35:Q35" si="5">C14*C$25*0.35</f>
        <v>7.5172576221749994</v>
      </c>
      <c r="D35">
        <f t="shared" si="5"/>
        <v>3.7121134942499996</v>
      </c>
      <c r="E35">
        <f t="shared" si="5"/>
        <v>0.37875499199999996</v>
      </c>
      <c r="F35">
        <f t="shared" si="5"/>
        <v>-1.711589208E-2</v>
      </c>
      <c r="G35">
        <f t="shared" si="5"/>
        <v>-7.3713697435000003E-2</v>
      </c>
      <c r="H35">
        <f t="shared" si="5"/>
        <v>5.6933565674999992E-2</v>
      </c>
      <c r="I35">
        <f t="shared" si="5"/>
        <v>3.8226487599999997E-3</v>
      </c>
      <c r="J35">
        <f t="shared" si="5"/>
        <v>2.4567152539999998E-2</v>
      </c>
      <c r="K35">
        <f t="shared" si="5"/>
        <v>1.8504287369750001</v>
      </c>
      <c r="L35">
        <f t="shared" si="5"/>
        <v>0.12470836171499999</v>
      </c>
      <c r="M35">
        <f t="shared" si="5"/>
        <v>0.14471551832500001</v>
      </c>
      <c r="N35">
        <f t="shared" si="5"/>
        <v>0.17569088197499999</v>
      </c>
      <c r="O35">
        <f t="shared" si="5"/>
        <v>-7.1352190839999996E-2</v>
      </c>
      <c r="P35">
        <f t="shared" si="5"/>
        <v>1.3146300904099999</v>
      </c>
      <c r="Q35">
        <f t="shared" si="5"/>
        <v>-2.1600679412199999</v>
      </c>
      <c r="R35">
        <f t="shared" ref="R35:Y35" si="6">R14*R$25*0.35</f>
        <v>5.1507071700000002E-3</v>
      </c>
      <c r="S35">
        <f t="shared" si="6"/>
        <v>3.9456112499999994E-2</v>
      </c>
      <c r="T35">
        <f t="shared" si="6"/>
        <v>5.997162969E-2</v>
      </c>
      <c r="U35">
        <f t="shared" si="6"/>
        <v>0.16122333149999998</v>
      </c>
      <c r="V35">
        <f t="shared" si="6"/>
        <v>0.12253679703999998</v>
      </c>
      <c r="W35">
        <f t="shared" si="6"/>
        <v>9.88328768E-3</v>
      </c>
      <c r="X35">
        <f t="shared" si="6"/>
        <v>0.30778967729999995</v>
      </c>
      <c r="Y35">
        <f t="shared" si="6"/>
        <v>1.9546716874999998E-2</v>
      </c>
    </row>
    <row r="36" spans="1:26" x14ac:dyDescent="0.2">
      <c r="A36" s="1" t="s">
        <v>6</v>
      </c>
      <c r="B36">
        <f>B15*B25*0.35</f>
        <v>62.168628380039998</v>
      </c>
      <c r="C36">
        <f t="shared" ref="C36:Q36" si="7">C15*C$25*0.35</f>
        <v>7.1673978334699999</v>
      </c>
      <c r="D36">
        <f t="shared" si="7"/>
        <v>3.41766823125</v>
      </c>
      <c r="E36">
        <f t="shared" si="7"/>
        <v>0.40347927619999996</v>
      </c>
      <c r="F36">
        <f t="shared" si="7"/>
        <v>-1.8961271280000001E-2</v>
      </c>
      <c r="G36">
        <f t="shared" si="7"/>
        <v>-8.2482613114999992E-2</v>
      </c>
      <c r="H36">
        <f t="shared" si="7"/>
        <v>5.6040490134999989E-2</v>
      </c>
      <c r="I36">
        <f t="shared" si="7"/>
        <v>3.4202646799999996E-3</v>
      </c>
      <c r="J36">
        <f t="shared" si="7"/>
        <v>5.6087272779999996E-2</v>
      </c>
      <c r="K36">
        <f t="shared" si="7"/>
        <v>1.8910975004249999</v>
      </c>
      <c r="L36">
        <f t="shared" si="7"/>
        <v>0.139042656165</v>
      </c>
      <c r="M36">
        <f t="shared" si="7"/>
        <v>0.179357843175</v>
      </c>
      <c r="N36">
        <f t="shared" si="7"/>
        <v>0.20836322143</v>
      </c>
      <c r="O36">
        <f t="shared" si="7"/>
        <v>-6.831592739999999E-2</v>
      </c>
      <c r="P36">
        <f t="shared" si="7"/>
        <v>1.402449509405</v>
      </c>
      <c r="Q36">
        <f t="shared" si="7"/>
        <v>-2.4158654605750001</v>
      </c>
      <c r="R36">
        <f t="shared" ref="R36:Y36" si="8">R15*R$25*0.35</f>
        <v>5.449298889999999E-3</v>
      </c>
      <c r="S36">
        <f t="shared" si="8"/>
        <v>4.1671192499999996E-2</v>
      </c>
      <c r="T36">
        <f t="shared" si="8"/>
        <v>6.2686394820000005E-2</v>
      </c>
      <c r="U36">
        <f t="shared" si="8"/>
        <v>0.18112744649999998</v>
      </c>
      <c r="V36">
        <f t="shared" si="8"/>
        <v>0.12507905423999999</v>
      </c>
      <c r="W36">
        <f t="shared" si="8"/>
        <v>1.189083049E-2</v>
      </c>
      <c r="X36">
        <f t="shared" si="8"/>
        <v>0.30403614465000001</v>
      </c>
      <c r="Y36">
        <f t="shared" si="8"/>
        <v>2.1735949165000001E-2</v>
      </c>
    </row>
    <row r="37" spans="1:26" x14ac:dyDescent="0.2">
      <c r="A37" s="1" t="s">
        <v>7</v>
      </c>
      <c r="B37">
        <f>B16*B25*0.35</f>
        <v>80.101886566590011</v>
      </c>
      <c r="C37">
        <f t="shared" ref="C37:Q37" si="9">C16*C$25*0.35</f>
        <v>8.0278638002849991</v>
      </c>
      <c r="D37">
        <f t="shared" si="9"/>
        <v>3.9644951482500002</v>
      </c>
      <c r="E37">
        <f t="shared" si="9"/>
        <v>0.3424576386</v>
      </c>
      <c r="F37">
        <f t="shared" si="9"/>
        <v>-1.397874744E-2</v>
      </c>
      <c r="G37">
        <f t="shared" si="9"/>
        <v>-7.6179954970000005E-2</v>
      </c>
      <c r="H37">
        <f t="shared" si="9"/>
        <v>5.6040490134999989E-2</v>
      </c>
      <c r="I37">
        <f t="shared" si="9"/>
        <v>1.0059601999999998E-3</v>
      </c>
      <c r="J37">
        <f t="shared" si="9"/>
        <v>-2.3640090179999997E-2</v>
      </c>
      <c r="K37">
        <f t="shared" si="9"/>
        <v>1.75689058104</v>
      </c>
      <c r="L37">
        <f t="shared" si="9"/>
        <v>0.11228530652499999</v>
      </c>
      <c r="M37">
        <f t="shared" si="9"/>
        <v>9.4428272575E-2</v>
      </c>
      <c r="N37">
        <f t="shared" si="9"/>
        <v>0.13623749093499998</v>
      </c>
      <c r="O37">
        <f t="shared" si="9"/>
        <v>-7.3629388419999997E-2</v>
      </c>
      <c r="P37">
        <f t="shared" si="9"/>
        <v>1.1656031975699999</v>
      </c>
      <c r="Q37">
        <f t="shared" si="9"/>
        <v>-1.9326923684600001</v>
      </c>
      <c r="R37">
        <f t="shared" ref="R37:Y37" si="10">R16*R$25*0.35</f>
        <v>4.8147914849999999E-3</v>
      </c>
      <c r="S37">
        <f t="shared" si="10"/>
        <v>3.64103775E-2</v>
      </c>
      <c r="T37">
        <f t="shared" si="10"/>
        <v>5.158053747E-2</v>
      </c>
      <c r="U37">
        <f t="shared" si="10"/>
        <v>0.129874350375</v>
      </c>
      <c r="V37">
        <f t="shared" si="10"/>
        <v>0.11668960548</v>
      </c>
      <c r="W37">
        <f t="shared" si="10"/>
        <v>6.0226284299999995E-3</v>
      </c>
      <c r="X37">
        <f t="shared" si="10"/>
        <v>0.30929109035999997</v>
      </c>
      <c r="Y37">
        <f t="shared" si="10"/>
        <v>1.688836338E-2</v>
      </c>
    </row>
    <row r="38" spans="1:26" x14ac:dyDescent="0.2">
      <c r="A38" s="1" t="s">
        <v>8</v>
      </c>
      <c r="B38">
        <f>B17*B25*0.35</f>
        <v>72.72932486767499</v>
      </c>
      <c r="C38">
        <f t="shared" ref="C38:Q38" si="11">C17*C$25*0.35</f>
        <v>8.0845978200749986</v>
      </c>
      <c r="D38">
        <f t="shared" si="11"/>
        <v>3.7962407122499999</v>
      </c>
      <c r="E38">
        <f t="shared" si="11"/>
        <v>0.34982231899999999</v>
      </c>
      <c r="F38">
        <f t="shared" si="11"/>
        <v>-1.3794209519999998E-2</v>
      </c>
      <c r="G38">
        <f t="shared" si="11"/>
        <v>-8.5222899264999999E-2</v>
      </c>
      <c r="H38">
        <f t="shared" si="11"/>
        <v>4.7333003619999994E-2</v>
      </c>
      <c r="I38">
        <f t="shared" si="11"/>
        <v>-4.0238407999999993E-3</v>
      </c>
      <c r="J38">
        <f t="shared" si="11"/>
        <v>-1.5296528939999998E-2</v>
      </c>
      <c r="K38">
        <f t="shared" si="11"/>
        <v>1.8260274789050002</v>
      </c>
      <c r="L38">
        <f t="shared" si="11"/>
        <v>0.11371873597</v>
      </c>
      <c r="M38">
        <f t="shared" si="11"/>
        <v>0.10225073302499998</v>
      </c>
      <c r="N38">
        <f t="shared" si="11"/>
        <v>0.18370485203</v>
      </c>
      <c r="O38">
        <f t="shared" si="11"/>
        <v>-7.6665651860000003E-2</v>
      </c>
      <c r="P38">
        <f t="shared" si="11"/>
        <v>1.200198726265</v>
      </c>
      <c r="Q38">
        <f t="shared" si="11"/>
        <v>-2.04638015484</v>
      </c>
      <c r="R38">
        <f t="shared" ref="R38:Y38" si="12">R17*R$25*0.35</f>
        <v>5.3746509599999987E-3</v>
      </c>
      <c r="S38">
        <f t="shared" si="12"/>
        <v>3.8763900000000004E-2</v>
      </c>
      <c r="T38">
        <f t="shared" si="12"/>
        <v>5.158053747E-2</v>
      </c>
      <c r="U38">
        <f t="shared" si="12"/>
        <v>0.13136715899999998</v>
      </c>
      <c r="V38">
        <f t="shared" si="12"/>
        <v>0.11974031411999997</v>
      </c>
      <c r="W38">
        <f t="shared" si="12"/>
        <v>7.2580393900000002E-3</v>
      </c>
      <c r="X38">
        <f t="shared" si="12"/>
        <v>0.30703897076999997</v>
      </c>
      <c r="Y38">
        <f t="shared" si="12"/>
        <v>1.7670232054999999E-2</v>
      </c>
    </row>
    <row r="39" spans="1:26" x14ac:dyDescent="0.2">
      <c r="A39" s="1" t="s">
        <v>9</v>
      </c>
      <c r="B39">
        <f>B18*B25*0.35</f>
        <v>69.740448503249993</v>
      </c>
      <c r="C39">
        <f t="shared" ref="C39:Q39" si="13">C18*C$25*0.35</f>
        <v>8.2642555494099987</v>
      </c>
      <c r="D39">
        <f t="shared" si="13"/>
        <v>3.7594350543749999</v>
      </c>
      <c r="E39">
        <f t="shared" si="13"/>
        <v>0.33877529839999998</v>
      </c>
      <c r="F39">
        <f t="shared" si="13"/>
        <v>-1.2686982000000001E-2</v>
      </c>
      <c r="G39">
        <f t="shared" si="13"/>
        <v>-8.1934555884999996E-2</v>
      </c>
      <c r="H39">
        <f t="shared" si="13"/>
        <v>4.6439928079999991E-2</v>
      </c>
      <c r="I39">
        <f t="shared" si="13"/>
        <v>-3.21907264E-3</v>
      </c>
      <c r="J39">
        <f t="shared" si="13"/>
        <v>-1.9468309559999997E-2</v>
      </c>
      <c r="K39">
        <f t="shared" si="13"/>
        <v>1.8097599735250001</v>
      </c>
      <c r="L39">
        <f t="shared" si="13"/>
        <v>0.11180749671</v>
      </c>
      <c r="M39">
        <f t="shared" si="13"/>
        <v>9.6104514099999996E-2</v>
      </c>
      <c r="N39">
        <f t="shared" si="13"/>
        <v>0.17754025967999998</v>
      </c>
      <c r="O39">
        <f t="shared" si="13"/>
        <v>-7.6286118929999994E-2</v>
      </c>
      <c r="P39">
        <f t="shared" si="13"/>
        <v>1.2161658933550001</v>
      </c>
      <c r="Q39">
        <f t="shared" si="13"/>
        <v>-1.8758484752700002</v>
      </c>
      <c r="R39">
        <f t="shared" ref="R39:Y39" si="14">R18*R$25*0.35</f>
        <v>5.6359187149999986E-3</v>
      </c>
      <c r="S39">
        <f t="shared" si="14"/>
        <v>4.0009882499999996E-2</v>
      </c>
      <c r="T39">
        <f t="shared" si="14"/>
        <v>5.207413113E-2</v>
      </c>
      <c r="U39">
        <f t="shared" si="14"/>
        <v>0.12738633599999999</v>
      </c>
      <c r="V39">
        <f t="shared" si="14"/>
        <v>0.12279102275999999</v>
      </c>
      <c r="W39">
        <f t="shared" si="14"/>
        <v>8.8023030899999997E-3</v>
      </c>
      <c r="X39">
        <f t="shared" si="14"/>
        <v>0.30403614465000001</v>
      </c>
      <c r="Y39">
        <f t="shared" si="14"/>
        <v>1.6106494704999998E-2</v>
      </c>
    </row>
    <row r="40" spans="1:26" x14ac:dyDescent="0.2">
      <c r="A40" s="1" t="s">
        <v>10</v>
      </c>
      <c r="B40">
        <f>B19*B25*0.35</f>
        <v>80.500403415180003</v>
      </c>
      <c r="C40">
        <f t="shared" ref="C40:Q40" si="15">C19*C$25*0.35</f>
        <v>7.8009277211249985</v>
      </c>
      <c r="D40">
        <f t="shared" si="15"/>
        <v>3.8225304678749996</v>
      </c>
      <c r="E40">
        <f t="shared" si="15"/>
        <v>0.35771304800000003</v>
      </c>
      <c r="F40">
        <f t="shared" si="15"/>
        <v>-1.2410175120000002E-2</v>
      </c>
      <c r="G40">
        <f t="shared" si="15"/>
        <v>-0.11152964630499998</v>
      </c>
      <c r="H40">
        <f t="shared" si="15"/>
        <v>2.8578417279999994E-2</v>
      </c>
      <c r="I40">
        <f t="shared" si="15"/>
        <v>-1.9515627879999997E-2</v>
      </c>
      <c r="J40">
        <f t="shared" si="15"/>
        <v>-1.9468309559999997E-2</v>
      </c>
      <c r="K40">
        <f t="shared" si="15"/>
        <v>1.8910975004249999</v>
      </c>
      <c r="L40">
        <f t="shared" si="15"/>
        <v>0.117063404675</v>
      </c>
      <c r="M40">
        <f t="shared" si="15"/>
        <v>0.10169198585</v>
      </c>
      <c r="N40">
        <f t="shared" si="15"/>
        <v>0.19788341443500002</v>
      </c>
      <c r="O40">
        <f t="shared" si="15"/>
        <v>-8.3117711669999997E-2</v>
      </c>
      <c r="P40">
        <f t="shared" si="15"/>
        <v>1.2161658933550001</v>
      </c>
      <c r="Q40">
        <f t="shared" si="15"/>
        <v>-5.5707015326200002</v>
      </c>
      <c r="R40">
        <f t="shared" ref="R40:Y40" si="16">R19*R$25*0.35</f>
        <v>5.1133832049999996E-3</v>
      </c>
      <c r="S40">
        <f t="shared" si="16"/>
        <v>4.2501847499999995E-2</v>
      </c>
      <c r="T40">
        <f t="shared" si="16"/>
        <v>5.133374064E-2</v>
      </c>
      <c r="U40">
        <f t="shared" si="16"/>
        <v>0.11992229287499999</v>
      </c>
      <c r="V40">
        <f t="shared" si="16"/>
        <v>0.12355369991999998</v>
      </c>
      <c r="W40">
        <f t="shared" si="16"/>
        <v>8.3390239799999988E-3</v>
      </c>
      <c r="X40">
        <f t="shared" si="16"/>
        <v>0.33331369931999999</v>
      </c>
      <c r="Y40">
        <f t="shared" si="16"/>
        <v>1.9546716874999998E-2</v>
      </c>
    </row>
    <row r="41" spans="1:26" x14ac:dyDescent="0.2">
      <c r="A41" s="1" t="s">
        <v>11</v>
      </c>
      <c r="B41">
        <f>B20*B25*0.35</f>
        <v>79.504111293705009</v>
      </c>
      <c r="C41">
        <f t="shared" ref="C41:Q41" si="17">C20*C$25*0.35</f>
        <v>7.9238514306700001</v>
      </c>
      <c r="D41">
        <f t="shared" si="17"/>
        <v>3.6910816897499998</v>
      </c>
      <c r="E41">
        <f t="shared" si="17"/>
        <v>0.34613997880000003</v>
      </c>
      <c r="F41">
        <f t="shared" si="17"/>
        <v>-1.1395216559999999E-2</v>
      </c>
      <c r="G41">
        <f t="shared" si="17"/>
        <v>-0.12386093397999999</v>
      </c>
      <c r="H41">
        <f t="shared" si="17"/>
        <v>1.7638241914999998E-2</v>
      </c>
      <c r="I41">
        <f t="shared" si="17"/>
        <v>-2.575258112E-2</v>
      </c>
      <c r="J41">
        <f t="shared" si="17"/>
        <v>-3.1056589059999997E-2</v>
      </c>
      <c r="K41">
        <f t="shared" si="17"/>
        <v>1.8870306240800001</v>
      </c>
      <c r="L41">
        <f t="shared" si="17"/>
        <v>0.11371873597</v>
      </c>
      <c r="M41">
        <f t="shared" si="17"/>
        <v>8.9399548000000009E-2</v>
      </c>
      <c r="N41">
        <f t="shared" si="17"/>
        <v>0.20528092525500002</v>
      </c>
      <c r="O41">
        <f t="shared" si="17"/>
        <v>-8.3117711669999997E-2</v>
      </c>
      <c r="P41">
        <f t="shared" si="17"/>
        <v>1.1576196140249999</v>
      </c>
      <c r="Q41">
        <f t="shared" si="17"/>
        <v>-5.854920998569999</v>
      </c>
      <c r="R41">
        <f t="shared" ref="R41:Y41" si="18">R20*R$25*0.35</f>
        <v>5.1507071700000002E-3</v>
      </c>
      <c r="S41">
        <f t="shared" si="18"/>
        <v>4.19480775E-2</v>
      </c>
      <c r="T41">
        <f t="shared" si="18"/>
        <v>4.4176632569999999E-2</v>
      </c>
      <c r="U41">
        <f t="shared" si="18"/>
        <v>0.10797982387499999</v>
      </c>
      <c r="V41">
        <f t="shared" si="18"/>
        <v>0.12126566843999999</v>
      </c>
      <c r="W41">
        <f t="shared" si="18"/>
        <v>7.2580393900000002E-3</v>
      </c>
      <c r="X41">
        <f t="shared" si="18"/>
        <v>0.32880946013999995</v>
      </c>
      <c r="Y41">
        <f t="shared" si="18"/>
        <v>1.9546716874999998E-2</v>
      </c>
    </row>
    <row r="43" spans="1:26" s="10" customFormat="1" x14ac:dyDescent="0.2">
      <c r="A43" s="9" t="s">
        <v>45</v>
      </c>
    </row>
    <row r="45" spans="1:26" x14ac:dyDescent="0.2">
      <c r="B45" s="1" t="s">
        <v>19</v>
      </c>
      <c r="C45" s="1" t="s">
        <v>20</v>
      </c>
      <c r="D45" s="1" t="s">
        <v>21</v>
      </c>
      <c r="E45" s="1" t="s">
        <v>23</v>
      </c>
      <c r="F45" s="1" t="s">
        <v>22</v>
      </c>
      <c r="G45" s="1" t="s">
        <v>24</v>
      </c>
      <c r="H45" s="1" t="s">
        <v>25</v>
      </c>
      <c r="I45" s="1" t="s">
        <v>26</v>
      </c>
      <c r="J45" s="1" t="s">
        <v>27</v>
      </c>
      <c r="K45" s="1" t="s">
        <v>28</v>
      </c>
      <c r="L45" s="1" t="s">
        <v>29</v>
      </c>
      <c r="M45" s="1" t="s">
        <v>30</v>
      </c>
      <c r="N45" s="1" t="s">
        <v>31</v>
      </c>
      <c r="O45" s="1" t="s">
        <v>32</v>
      </c>
      <c r="P45" s="1" t="s">
        <v>33</v>
      </c>
      <c r="Q45" s="1" t="s">
        <v>34</v>
      </c>
      <c r="R45" s="1" t="s">
        <v>35</v>
      </c>
      <c r="S45" s="1" t="s">
        <v>36</v>
      </c>
      <c r="T45" s="1" t="s">
        <v>37</v>
      </c>
      <c r="U45" s="1" t="s">
        <v>38</v>
      </c>
      <c r="V45" s="1" t="s">
        <v>39</v>
      </c>
      <c r="W45" s="1" t="s">
        <v>40</v>
      </c>
      <c r="X45" s="1" t="s">
        <v>41</v>
      </c>
      <c r="Y45" s="1" t="s">
        <v>42</v>
      </c>
      <c r="Z45" s="1" t="s">
        <v>44</v>
      </c>
    </row>
    <row r="46" spans="1:26" x14ac:dyDescent="0.2">
      <c r="A46" s="1" t="s">
        <v>43</v>
      </c>
      <c r="B46" s="11">
        <v>2.1999999999999999E-2</v>
      </c>
      <c r="C46" s="11">
        <v>5.01</v>
      </c>
      <c r="D46" s="11">
        <v>3.33</v>
      </c>
      <c r="E46" s="11">
        <v>30</v>
      </c>
      <c r="F46" s="11">
        <v>-74</v>
      </c>
      <c r="G46" s="11">
        <v>-57</v>
      </c>
      <c r="H46" s="11">
        <v>8</v>
      </c>
      <c r="I46" s="11">
        <v>3</v>
      </c>
      <c r="J46" s="11">
        <v>6</v>
      </c>
      <c r="K46" s="11">
        <v>1</v>
      </c>
      <c r="L46" s="11">
        <v>1.5</v>
      </c>
      <c r="M46" s="11">
        <v>4.3</v>
      </c>
      <c r="N46" s="11">
        <v>14.3</v>
      </c>
      <c r="O46" s="11">
        <v>0</v>
      </c>
      <c r="P46" s="11">
        <v>1</v>
      </c>
      <c r="Q46" s="11">
        <v>-0.35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2</v>
      </c>
      <c r="Y46" s="11">
        <v>8.1999999999999993</v>
      </c>
    </row>
    <row r="47" spans="1:26" x14ac:dyDescent="0.2">
      <c r="A47" s="1" t="s">
        <v>0</v>
      </c>
      <c r="B47">
        <f>B$46*B30</f>
        <v>3.5814709182783293</v>
      </c>
      <c r="C47">
        <f>C$46*C30</f>
        <v>37.75620650014605</v>
      </c>
      <c r="D47">
        <f t="shared" ref="D47:Y47" si="19">D$46*D30</f>
        <v>15.477935885685001</v>
      </c>
      <c r="E47">
        <f t="shared" si="19"/>
        <v>3.1720730580000005</v>
      </c>
      <c r="F47">
        <f t="shared" si="19"/>
        <v>-0.25946031551999998</v>
      </c>
      <c r="G47">
        <f t="shared" si="19"/>
        <v>3.5768955115950001</v>
      </c>
      <c r="H47">
        <f t="shared" si="19"/>
        <v>0.18933201447999998</v>
      </c>
      <c r="I47">
        <f t="shared" si="19"/>
        <v>-6.3375492599999986E-2</v>
      </c>
      <c r="J47">
        <f t="shared" si="19"/>
        <v>-1.2988143663600002</v>
      </c>
      <c r="K47">
        <f t="shared" si="19"/>
        <v>0.83370965072499992</v>
      </c>
      <c r="L47">
        <f t="shared" si="19"/>
        <v>6.4504325024999989E-3</v>
      </c>
      <c r="M47">
        <f t="shared" si="19"/>
        <v>-0.60305582597749996</v>
      </c>
      <c r="N47">
        <f t="shared" si="19"/>
        <v>-1.4104587296800002</v>
      </c>
      <c r="O47">
        <f t="shared" si="19"/>
        <v>0</v>
      </c>
      <c r="P47">
        <f t="shared" si="19"/>
        <v>0.1064477806</v>
      </c>
      <c r="Q47">
        <f t="shared" si="19"/>
        <v>7.9581450466E-2</v>
      </c>
      <c r="R47">
        <f t="shared" si="19"/>
        <v>0</v>
      </c>
      <c r="S47">
        <f t="shared" si="19"/>
        <v>0</v>
      </c>
      <c r="T47">
        <f t="shared" si="19"/>
        <v>0</v>
      </c>
      <c r="U47">
        <f t="shared" si="19"/>
        <v>0</v>
      </c>
      <c r="V47">
        <f t="shared" si="19"/>
        <v>0</v>
      </c>
      <c r="W47">
        <f t="shared" si="19"/>
        <v>0</v>
      </c>
      <c r="X47">
        <f t="shared" si="19"/>
        <v>0.54651435383999991</v>
      </c>
      <c r="Y47">
        <f t="shared" si="19"/>
        <v>3.4621144928999995E-2</v>
      </c>
      <c r="Z47" cm="1">
        <f t="array" ref="Z47">SUM(ABS(B47:Y47))</f>
        <v>68.996403431384394</v>
      </c>
    </row>
    <row r="48" spans="1:26" x14ac:dyDescent="0.2">
      <c r="A48" s="1" t="s">
        <v>1</v>
      </c>
      <c r="B48">
        <f>B$46*B31</f>
        <v>2.77925650206666</v>
      </c>
      <c r="C48">
        <f t="shared" ref="C48:Y48" si="20">C$46*C31</f>
        <v>42.919853311332893</v>
      </c>
      <c r="D48">
        <f t="shared" si="20"/>
        <v>15.95067827133375</v>
      </c>
      <c r="E48">
        <f t="shared" si="20"/>
        <v>4.0558347059999997</v>
      </c>
      <c r="F48">
        <f t="shared" si="20"/>
        <v>-6.4865078879999996E-2</v>
      </c>
      <c r="G48">
        <f t="shared" si="20"/>
        <v>3.0458280557249999</v>
      </c>
      <c r="H48">
        <f t="shared" si="20"/>
        <v>0.22148273391999998</v>
      </c>
      <c r="I48">
        <f t="shared" si="20"/>
        <v>-3.9836023919999991E-2</v>
      </c>
      <c r="J48">
        <f t="shared" si="20"/>
        <v>-1.1347243286399999</v>
      </c>
      <c r="K48">
        <f t="shared" si="20"/>
        <v>1.01671908625</v>
      </c>
      <c r="L48">
        <f t="shared" si="20"/>
        <v>1.7201153340000001E-2</v>
      </c>
      <c r="M48">
        <f t="shared" si="20"/>
        <v>-0.45889905482749999</v>
      </c>
      <c r="N48">
        <f t="shared" si="20"/>
        <v>-0.88153670605000001</v>
      </c>
      <c r="O48">
        <f t="shared" si="20"/>
        <v>0</v>
      </c>
      <c r="P48">
        <f t="shared" si="20"/>
        <v>0.34595528695000005</v>
      </c>
      <c r="Q48">
        <f t="shared" si="20"/>
        <v>1.98953626165E-2</v>
      </c>
      <c r="R48">
        <f t="shared" si="20"/>
        <v>0</v>
      </c>
      <c r="S48">
        <f t="shared" si="20"/>
        <v>0</v>
      </c>
      <c r="T48">
        <f t="shared" si="20"/>
        <v>0</v>
      </c>
      <c r="U48">
        <f t="shared" si="20"/>
        <v>0</v>
      </c>
      <c r="V48">
        <f t="shared" si="20"/>
        <v>0</v>
      </c>
      <c r="W48">
        <f t="shared" si="20"/>
        <v>0</v>
      </c>
      <c r="X48">
        <f t="shared" si="20"/>
        <v>0.56002707137999985</v>
      </c>
      <c r="Y48">
        <f t="shared" si="20"/>
        <v>7.6935877619999996E-3</v>
      </c>
      <c r="Z48" cm="1">
        <f t="array" ref="Z48">SUM(ABS(B48:Y48))</f>
        <v>73.520286320994316</v>
      </c>
    </row>
    <row r="49" spans="1:26" x14ac:dyDescent="0.2">
      <c r="A49" s="1" t="s">
        <v>2</v>
      </c>
      <c r="B49">
        <f t="shared" ref="B49:Q58" si="21">B$46*B32</f>
        <v>2.2093774085829603</v>
      </c>
      <c r="C49">
        <f t="shared" si="21"/>
        <v>45.525363170188648</v>
      </c>
      <c r="D49">
        <f t="shared" si="21"/>
        <v>14.725049864096249</v>
      </c>
      <c r="E49">
        <f t="shared" si="21"/>
        <v>4.2136492859999999</v>
      </c>
      <c r="F49">
        <f t="shared" si="21"/>
        <v>4.7795321280000004E-2</v>
      </c>
      <c r="G49">
        <f t="shared" si="21"/>
        <v>2.9989691625599999</v>
      </c>
      <c r="H49">
        <f t="shared" si="21"/>
        <v>0.22505503607999996</v>
      </c>
      <c r="I49">
        <f t="shared" si="21"/>
        <v>-2.9575229879999998E-2</v>
      </c>
      <c r="J49">
        <f t="shared" si="21"/>
        <v>-1.0485075291599999</v>
      </c>
      <c r="K49">
        <f t="shared" si="21"/>
        <v>1.06552160239</v>
      </c>
      <c r="L49">
        <f t="shared" si="21"/>
        <v>2.7235159455000005E-2</v>
      </c>
      <c r="M49">
        <f t="shared" si="21"/>
        <v>-0.4012363463675</v>
      </c>
      <c r="N49">
        <f t="shared" si="21"/>
        <v>-0.57299885893250002</v>
      </c>
      <c r="O49">
        <f t="shared" si="21"/>
        <v>0</v>
      </c>
      <c r="P49">
        <f t="shared" si="21"/>
        <v>0.43111351142999998</v>
      </c>
      <c r="Q49">
        <f t="shared" si="21"/>
        <v>-7.9581450466E-2</v>
      </c>
      <c r="R49">
        <f t="shared" ref="R49:Y49" si="22">R$46*R32</f>
        <v>0</v>
      </c>
      <c r="S49">
        <f t="shared" si="22"/>
        <v>0</v>
      </c>
      <c r="T49">
        <f t="shared" si="22"/>
        <v>0</v>
      </c>
      <c r="U49">
        <f t="shared" si="22"/>
        <v>0</v>
      </c>
      <c r="V49">
        <f t="shared" si="22"/>
        <v>0</v>
      </c>
      <c r="W49">
        <f t="shared" si="22"/>
        <v>0</v>
      </c>
      <c r="X49">
        <f t="shared" si="22"/>
        <v>0.53450304935999993</v>
      </c>
      <c r="Y49">
        <f t="shared" si="22"/>
        <v>2.5645292539999997E-3</v>
      </c>
      <c r="Z49" cm="1">
        <f t="array" ref="Z49">SUM(ABS(B49:Y49))</f>
        <v>74.138096515482857</v>
      </c>
    </row>
    <row r="50" spans="1:26" x14ac:dyDescent="0.2">
      <c r="A50" s="1" t="s">
        <v>3</v>
      </c>
      <c r="B50">
        <f t="shared" si="21"/>
        <v>2.4373290459764401</v>
      </c>
      <c r="C50">
        <f t="shared" si="21"/>
        <v>40.788072517723649</v>
      </c>
      <c r="D50">
        <f t="shared" si="21"/>
        <v>14.90013963655875</v>
      </c>
      <c r="E50">
        <f t="shared" si="21"/>
        <v>9.0269939759999982</v>
      </c>
      <c r="F50">
        <f t="shared" si="21"/>
        <v>0.79545070415999997</v>
      </c>
      <c r="G50">
        <f t="shared" si="21"/>
        <v>3.9361470258599995</v>
      </c>
      <c r="H50">
        <f t="shared" si="21"/>
        <v>0.26256420875999997</v>
      </c>
      <c r="I50">
        <f t="shared" si="21"/>
        <v>-4.4061056759999995E-2</v>
      </c>
      <c r="J50">
        <f t="shared" si="21"/>
        <v>-0.56179979015999992</v>
      </c>
      <c r="K50">
        <f t="shared" si="21"/>
        <v>1.4274735970949999</v>
      </c>
      <c r="L50">
        <f t="shared" si="21"/>
        <v>0.10105677587249999</v>
      </c>
      <c r="M50">
        <f t="shared" si="21"/>
        <v>7.2078385574999987E-2</v>
      </c>
      <c r="N50">
        <f t="shared" si="21"/>
        <v>1.3311204261355001</v>
      </c>
      <c r="O50">
        <f t="shared" si="21"/>
        <v>0</v>
      </c>
      <c r="P50">
        <f t="shared" si="21"/>
        <v>0.97133599797499992</v>
      </c>
      <c r="Q50">
        <f t="shared" si="21"/>
        <v>0.58691319718674984</v>
      </c>
      <c r="R50">
        <f t="shared" ref="R50:Y50" si="23">R$46*R33</f>
        <v>0</v>
      </c>
      <c r="S50">
        <f t="shared" si="23"/>
        <v>0</v>
      </c>
      <c r="T50">
        <f t="shared" si="23"/>
        <v>0</v>
      </c>
      <c r="U50">
        <f t="shared" si="23"/>
        <v>0</v>
      </c>
      <c r="V50">
        <f t="shared" si="23"/>
        <v>0</v>
      </c>
      <c r="W50">
        <f t="shared" si="23"/>
        <v>0</v>
      </c>
      <c r="X50">
        <f t="shared" si="23"/>
        <v>0.61858218071999993</v>
      </c>
      <c r="Y50">
        <f t="shared" si="23"/>
        <v>0.12053287493799998</v>
      </c>
      <c r="Z50" cm="1">
        <f t="array" ref="Z50">SUM(ABS(B50:Y50))</f>
        <v>77.981651397456559</v>
      </c>
    </row>
    <row r="51" spans="1:26" x14ac:dyDescent="0.2">
      <c r="A51" s="1" t="s">
        <v>4</v>
      </c>
      <c r="B51">
        <f t="shared" si="21"/>
        <v>2.4154106193039904</v>
      </c>
      <c r="C51">
        <f t="shared" si="21"/>
        <v>38.656291724114396</v>
      </c>
      <c r="D51">
        <f t="shared" si="21"/>
        <v>14.83010372757375</v>
      </c>
      <c r="E51">
        <f t="shared" si="21"/>
        <v>9.4057489679999993</v>
      </c>
      <c r="F51">
        <f t="shared" si="21"/>
        <v>0.94907852256000003</v>
      </c>
      <c r="G51">
        <f t="shared" si="21"/>
        <v>3.9205273948050001</v>
      </c>
      <c r="H51">
        <f t="shared" si="21"/>
        <v>0.49655000023999996</v>
      </c>
      <c r="I51">
        <f t="shared" si="21"/>
        <v>1.1467946279999999E-2</v>
      </c>
      <c r="J51">
        <f t="shared" si="21"/>
        <v>-0.52842554519999996</v>
      </c>
      <c r="K51">
        <f t="shared" si="21"/>
        <v>1.37460420461</v>
      </c>
      <c r="L51">
        <f t="shared" si="21"/>
        <v>0.10894063782000002</v>
      </c>
      <c r="M51">
        <f t="shared" si="21"/>
        <v>9.1299288394999983E-2</v>
      </c>
      <c r="N51">
        <f t="shared" si="21"/>
        <v>1.145997717865</v>
      </c>
      <c r="O51">
        <f t="shared" si="21"/>
        <v>0</v>
      </c>
      <c r="P51">
        <f t="shared" si="21"/>
        <v>1.0085927211850001</v>
      </c>
      <c r="Q51">
        <f t="shared" si="21"/>
        <v>0.636651603728</v>
      </c>
      <c r="R51">
        <f t="shared" ref="R51:Y51" si="24">R$46*R34</f>
        <v>0</v>
      </c>
      <c r="S51">
        <f t="shared" si="24"/>
        <v>0</v>
      </c>
      <c r="T51">
        <f t="shared" si="24"/>
        <v>0</v>
      </c>
      <c r="U51">
        <f t="shared" si="24"/>
        <v>0</v>
      </c>
      <c r="V51">
        <f t="shared" si="24"/>
        <v>0</v>
      </c>
      <c r="W51">
        <f t="shared" si="24"/>
        <v>0</v>
      </c>
      <c r="X51">
        <f t="shared" si="24"/>
        <v>0.58855391952000002</v>
      </c>
      <c r="Y51">
        <f t="shared" si="24"/>
        <v>0.13592005046200001</v>
      </c>
      <c r="Z51" cm="1">
        <f t="array" ref="Z51">SUM(ABS(B51:Y51))</f>
        <v>76.304164591662143</v>
      </c>
    </row>
    <row r="52" spans="1:26" x14ac:dyDescent="0.2">
      <c r="A52" s="1" t="s">
        <v>5</v>
      </c>
      <c r="B52">
        <f t="shared" si="21"/>
        <v>1.5781267204163998</v>
      </c>
      <c r="C52">
        <f t="shared" si="21"/>
        <v>37.661460687096742</v>
      </c>
      <c r="D52">
        <f t="shared" si="21"/>
        <v>12.361337935852498</v>
      </c>
      <c r="E52">
        <f t="shared" si="21"/>
        <v>11.362649759999998</v>
      </c>
      <c r="F52">
        <f t="shared" si="21"/>
        <v>1.26657601392</v>
      </c>
      <c r="G52">
        <f t="shared" si="21"/>
        <v>4.2016807537950003</v>
      </c>
      <c r="H52">
        <f t="shared" si="21"/>
        <v>0.45546852539999994</v>
      </c>
      <c r="I52">
        <f t="shared" si="21"/>
        <v>1.1467946279999999E-2</v>
      </c>
      <c r="J52">
        <f t="shared" si="21"/>
        <v>0.14740291523999999</v>
      </c>
      <c r="K52">
        <f t="shared" si="21"/>
        <v>1.8504287369750001</v>
      </c>
      <c r="L52">
        <f t="shared" si="21"/>
        <v>0.18706254257249999</v>
      </c>
      <c r="M52">
        <f t="shared" si="21"/>
        <v>0.62227672879750007</v>
      </c>
      <c r="N52">
        <f t="shared" si="21"/>
        <v>2.5123796122424999</v>
      </c>
      <c r="O52">
        <f t="shared" si="21"/>
        <v>0</v>
      </c>
      <c r="P52">
        <f t="shared" si="21"/>
        <v>1.3146300904099999</v>
      </c>
      <c r="Q52">
        <f t="shared" si="21"/>
        <v>0.75602377942699994</v>
      </c>
      <c r="R52">
        <f t="shared" ref="R52:Y52" si="25">R$46*R35</f>
        <v>0</v>
      </c>
      <c r="S52">
        <f t="shared" si="25"/>
        <v>0</v>
      </c>
      <c r="T52">
        <f t="shared" si="25"/>
        <v>0</v>
      </c>
      <c r="U52">
        <f t="shared" si="25"/>
        <v>0</v>
      </c>
      <c r="V52">
        <f t="shared" si="25"/>
        <v>0</v>
      </c>
      <c r="W52">
        <f t="shared" si="25"/>
        <v>0</v>
      </c>
      <c r="X52">
        <f t="shared" si="25"/>
        <v>0.61557935459999991</v>
      </c>
      <c r="Y52">
        <f t="shared" si="25"/>
        <v>0.16028307837499997</v>
      </c>
      <c r="Z52" cm="1">
        <f t="array" ref="Z52">SUM(ABS(B52:Y52))</f>
        <v>77.064835181400142</v>
      </c>
    </row>
    <row r="53" spans="1:26" x14ac:dyDescent="0.2">
      <c r="A53" s="1" t="s">
        <v>6</v>
      </c>
      <c r="B53">
        <f t="shared" si="21"/>
        <v>1.3677098243608798</v>
      </c>
      <c r="C53">
        <f t="shared" si="21"/>
        <v>35.908663145684699</v>
      </c>
      <c r="D53">
        <f t="shared" si="21"/>
        <v>11.3808352100625</v>
      </c>
      <c r="E53">
        <f t="shared" si="21"/>
        <v>12.104378285999999</v>
      </c>
      <c r="F53">
        <f t="shared" si="21"/>
        <v>1.4031340747200001</v>
      </c>
      <c r="G53">
        <f t="shared" si="21"/>
        <v>4.7015089475549994</v>
      </c>
      <c r="H53">
        <f t="shared" si="21"/>
        <v>0.44832392107999991</v>
      </c>
      <c r="I53">
        <f t="shared" si="21"/>
        <v>1.0260794039999998E-2</v>
      </c>
      <c r="J53">
        <f t="shared" si="21"/>
        <v>0.33652363667999996</v>
      </c>
      <c r="K53">
        <f t="shared" si="21"/>
        <v>1.8910975004249999</v>
      </c>
      <c r="L53">
        <f t="shared" si="21"/>
        <v>0.2085639842475</v>
      </c>
      <c r="M53">
        <f t="shared" si="21"/>
        <v>0.77123872565249996</v>
      </c>
      <c r="N53">
        <f t="shared" si="21"/>
        <v>2.9795940664490002</v>
      </c>
      <c r="O53">
        <f t="shared" si="21"/>
        <v>0</v>
      </c>
      <c r="P53">
        <f t="shared" si="21"/>
        <v>1.402449509405</v>
      </c>
      <c r="Q53">
        <f t="shared" si="21"/>
        <v>0.84555291120124998</v>
      </c>
      <c r="R53">
        <f t="shared" ref="R53:Y53" si="26">R$46*R36</f>
        <v>0</v>
      </c>
      <c r="S53">
        <f t="shared" si="26"/>
        <v>0</v>
      </c>
      <c r="T53">
        <f t="shared" si="26"/>
        <v>0</v>
      </c>
      <c r="U53">
        <f t="shared" si="26"/>
        <v>0</v>
      </c>
      <c r="V53">
        <f t="shared" si="26"/>
        <v>0</v>
      </c>
      <c r="W53">
        <f t="shared" si="26"/>
        <v>0</v>
      </c>
      <c r="X53">
        <f t="shared" si="26"/>
        <v>0.60807228930000001</v>
      </c>
      <c r="Y53">
        <f t="shared" si="26"/>
        <v>0.17823478315299998</v>
      </c>
      <c r="Z53" cm="1">
        <f t="array" ref="Z53">SUM(ABS(B53:Y53))</f>
        <v>76.546141610016335</v>
      </c>
    </row>
    <row r="54" spans="1:26" x14ac:dyDescent="0.2">
      <c r="A54" s="1" t="s">
        <v>7</v>
      </c>
      <c r="B54">
        <f t="shared" si="21"/>
        <v>1.7622415044649802</v>
      </c>
      <c r="C54">
        <f t="shared" si="21"/>
        <v>40.219597639427846</v>
      </c>
      <c r="D54">
        <f t="shared" si="21"/>
        <v>13.2017688436725</v>
      </c>
      <c r="E54">
        <f t="shared" si="21"/>
        <v>10.273729158</v>
      </c>
      <c r="F54">
        <f t="shared" si="21"/>
        <v>1.0344273105599999</v>
      </c>
      <c r="G54">
        <f t="shared" si="21"/>
        <v>4.3422574332900004</v>
      </c>
      <c r="H54">
        <f t="shared" si="21"/>
        <v>0.44832392107999991</v>
      </c>
      <c r="I54">
        <f t="shared" si="21"/>
        <v>3.0178805999999995E-3</v>
      </c>
      <c r="J54">
        <f t="shared" si="21"/>
        <v>-0.14184054107999999</v>
      </c>
      <c r="K54">
        <f t="shared" si="21"/>
        <v>1.75689058104</v>
      </c>
      <c r="L54">
        <f t="shared" si="21"/>
        <v>0.16842795978749997</v>
      </c>
      <c r="M54">
        <f t="shared" si="21"/>
        <v>0.40604157207249997</v>
      </c>
      <c r="N54">
        <f t="shared" si="21"/>
        <v>1.9481961203704998</v>
      </c>
      <c r="O54">
        <f t="shared" si="21"/>
        <v>0</v>
      </c>
      <c r="P54">
        <f t="shared" si="21"/>
        <v>1.1656031975699999</v>
      </c>
      <c r="Q54">
        <f t="shared" si="21"/>
        <v>0.67644232896099998</v>
      </c>
      <c r="R54">
        <f t="shared" ref="R54:Y54" si="27">R$46*R37</f>
        <v>0</v>
      </c>
      <c r="S54">
        <f t="shared" si="27"/>
        <v>0</v>
      </c>
      <c r="T54">
        <f t="shared" si="27"/>
        <v>0</v>
      </c>
      <c r="U54">
        <f t="shared" si="27"/>
        <v>0</v>
      </c>
      <c r="V54">
        <f t="shared" si="27"/>
        <v>0</v>
      </c>
      <c r="W54">
        <f t="shared" si="27"/>
        <v>0</v>
      </c>
      <c r="X54">
        <f t="shared" si="27"/>
        <v>0.61858218071999993</v>
      </c>
      <c r="Y54">
        <f t="shared" si="27"/>
        <v>0.13848457971599998</v>
      </c>
      <c r="Z54" cm="1">
        <f t="array" ref="Z54">SUM(ABS(B54:Y54))</f>
        <v>78.30587275241281</v>
      </c>
    </row>
    <row r="55" spans="1:26" x14ac:dyDescent="0.2">
      <c r="A55" s="1" t="s">
        <v>8</v>
      </c>
      <c r="B55">
        <f t="shared" si="21"/>
        <v>1.6000451470888497</v>
      </c>
      <c r="C55">
        <f t="shared" si="21"/>
        <v>40.50383507857574</v>
      </c>
      <c r="D55">
        <f t="shared" si="21"/>
        <v>12.6414815717925</v>
      </c>
      <c r="E55">
        <f t="shared" si="21"/>
        <v>10.494669569999999</v>
      </c>
      <c r="F55">
        <f t="shared" si="21"/>
        <v>1.0207715044799999</v>
      </c>
      <c r="G55">
        <f t="shared" si="21"/>
        <v>4.8577052581049998</v>
      </c>
      <c r="H55">
        <f t="shared" si="21"/>
        <v>0.37866402895999995</v>
      </c>
      <c r="I55">
        <f t="shared" si="21"/>
        <v>-1.2071522399999998E-2</v>
      </c>
      <c r="J55">
        <f t="shared" si="21"/>
        <v>-9.1779173639999989E-2</v>
      </c>
      <c r="K55">
        <f t="shared" si="21"/>
        <v>1.8260274789050002</v>
      </c>
      <c r="L55">
        <f t="shared" si="21"/>
        <v>0.170578103955</v>
      </c>
      <c r="M55">
        <f t="shared" si="21"/>
        <v>0.43967815200749993</v>
      </c>
      <c r="N55">
        <f t="shared" si="21"/>
        <v>2.6269793840290001</v>
      </c>
      <c r="O55">
        <f t="shared" si="21"/>
        <v>0</v>
      </c>
      <c r="P55">
        <f t="shared" si="21"/>
        <v>1.200198726265</v>
      </c>
      <c r="Q55">
        <f t="shared" si="21"/>
        <v>0.71623305419399996</v>
      </c>
      <c r="R55">
        <f t="shared" ref="R55:Y55" si="28">R$46*R38</f>
        <v>0</v>
      </c>
      <c r="S55">
        <f t="shared" si="28"/>
        <v>0</v>
      </c>
      <c r="T55">
        <f t="shared" si="28"/>
        <v>0</v>
      </c>
      <c r="U55">
        <f t="shared" si="28"/>
        <v>0</v>
      </c>
      <c r="V55">
        <f t="shared" si="28"/>
        <v>0</v>
      </c>
      <c r="W55">
        <f t="shared" si="28"/>
        <v>0</v>
      </c>
      <c r="X55">
        <f t="shared" si="28"/>
        <v>0.61407794153999995</v>
      </c>
      <c r="Y55">
        <f t="shared" si="28"/>
        <v>0.14489590285099999</v>
      </c>
      <c r="Z55" cm="1">
        <f t="array" ref="Z55">SUM(ABS(B55:Y55))</f>
        <v>79.339691598788619</v>
      </c>
    </row>
    <row r="56" spans="1:26" x14ac:dyDescent="0.2">
      <c r="A56" s="1" t="s">
        <v>9</v>
      </c>
      <c r="B56">
        <f t="shared" si="21"/>
        <v>1.5342898670714997</v>
      </c>
      <c r="C56">
        <f t="shared" si="21"/>
        <v>41.403920302544094</v>
      </c>
      <c r="D56">
        <f t="shared" si="21"/>
        <v>12.51891873106875</v>
      </c>
      <c r="E56">
        <f t="shared" si="21"/>
        <v>10.163258952</v>
      </c>
      <c r="F56">
        <f t="shared" si="21"/>
        <v>0.9388366680000001</v>
      </c>
      <c r="G56">
        <f t="shared" si="21"/>
        <v>4.6702696854449997</v>
      </c>
      <c r="H56">
        <f t="shared" si="21"/>
        <v>0.37151942463999993</v>
      </c>
      <c r="I56">
        <f t="shared" si="21"/>
        <v>-9.657217919999999E-3</v>
      </c>
      <c r="J56">
        <f t="shared" si="21"/>
        <v>-0.11680985735999999</v>
      </c>
      <c r="K56">
        <f t="shared" si="21"/>
        <v>1.8097599735250001</v>
      </c>
      <c r="L56">
        <f t="shared" si="21"/>
        <v>0.16771124506499999</v>
      </c>
      <c r="M56">
        <f t="shared" si="21"/>
        <v>0.41324941062999998</v>
      </c>
      <c r="N56">
        <f t="shared" si="21"/>
        <v>2.538825713424</v>
      </c>
      <c r="O56">
        <f t="shared" si="21"/>
        <v>0</v>
      </c>
      <c r="P56">
        <f t="shared" si="21"/>
        <v>1.2161658933550001</v>
      </c>
      <c r="Q56">
        <f t="shared" si="21"/>
        <v>0.65654696634450005</v>
      </c>
      <c r="R56">
        <f t="shared" ref="R56:Y56" si="29">R$46*R39</f>
        <v>0</v>
      </c>
      <c r="S56">
        <f t="shared" si="29"/>
        <v>0</v>
      </c>
      <c r="T56">
        <f t="shared" si="29"/>
        <v>0</v>
      </c>
      <c r="U56">
        <f t="shared" si="29"/>
        <v>0</v>
      </c>
      <c r="V56">
        <f t="shared" si="29"/>
        <v>0</v>
      </c>
      <c r="W56">
        <f t="shared" si="29"/>
        <v>0</v>
      </c>
      <c r="X56">
        <f t="shared" si="29"/>
        <v>0.60807228930000001</v>
      </c>
      <c r="Y56">
        <f t="shared" si="29"/>
        <v>0.13207325658099997</v>
      </c>
      <c r="Z56" cm="1">
        <f t="array" ref="Z56">SUM(ABS(B56:Y56))</f>
        <v>79.269885454273819</v>
      </c>
    </row>
    <row r="57" spans="1:26" x14ac:dyDescent="0.2">
      <c r="A57" s="1" t="s">
        <v>10</v>
      </c>
      <c r="B57">
        <f t="shared" si="21"/>
        <v>1.7710088751339599</v>
      </c>
      <c r="C57">
        <f t="shared" si="21"/>
        <v>39.082647882836241</v>
      </c>
      <c r="D57">
        <f t="shared" si="21"/>
        <v>12.72902645802375</v>
      </c>
      <c r="E57">
        <f t="shared" si="21"/>
        <v>10.731391440000001</v>
      </c>
      <c r="F57">
        <f t="shared" si="21"/>
        <v>0.91835295888000013</v>
      </c>
      <c r="G57">
        <f t="shared" si="21"/>
        <v>6.3571898393849988</v>
      </c>
      <c r="H57">
        <f t="shared" si="21"/>
        <v>0.22862733823999995</v>
      </c>
      <c r="I57">
        <f t="shared" si="21"/>
        <v>-5.8546883639999991E-2</v>
      </c>
      <c r="J57">
        <f t="shared" si="21"/>
        <v>-0.11680985735999999</v>
      </c>
      <c r="K57">
        <f t="shared" si="21"/>
        <v>1.8910975004249999</v>
      </c>
      <c r="L57">
        <f t="shared" si="21"/>
        <v>0.1755951070125</v>
      </c>
      <c r="M57">
        <f t="shared" si="21"/>
        <v>0.437275539155</v>
      </c>
      <c r="N57">
        <f t="shared" si="21"/>
        <v>2.8297328264205004</v>
      </c>
      <c r="O57">
        <f t="shared" si="21"/>
        <v>0</v>
      </c>
      <c r="P57">
        <f t="shared" si="21"/>
        <v>1.2161658933550001</v>
      </c>
      <c r="Q57">
        <f t="shared" si="21"/>
        <v>1.949745536417</v>
      </c>
      <c r="R57">
        <f t="shared" ref="R57:Y57" si="30">R$46*R40</f>
        <v>0</v>
      </c>
      <c r="S57">
        <f t="shared" si="30"/>
        <v>0</v>
      </c>
      <c r="T57">
        <f t="shared" si="30"/>
        <v>0</v>
      </c>
      <c r="U57">
        <f t="shared" si="30"/>
        <v>0</v>
      </c>
      <c r="V57">
        <f t="shared" si="30"/>
        <v>0</v>
      </c>
      <c r="W57">
        <f t="shared" si="30"/>
        <v>0</v>
      </c>
      <c r="X57">
        <f t="shared" si="30"/>
        <v>0.66662739863999998</v>
      </c>
      <c r="Y57">
        <f t="shared" si="30"/>
        <v>0.16028307837499997</v>
      </c>
      <c r="Z57" cm="1">
        <f t="array" ref="Z57">SUM(ABS(B57:Y57))</f>
        <v>81.320124413298956</v>
      </c>
    </row>
    <row r="58" spans="1:26" x14ac:dyDescent="0.2">
      <c r="A58" s="1" t="s">
        <v>11</v>
      </c>
      <c r="B58">
        <f t="shared" si="21"/>
        <v>1.7490904484615102</v>
      </c>
      <c r="C58">
        <f t="shared" si="21"/>
        <v>39.698495667656701</v>
      </c>
      <c r="D58">
        <f t="shared" si="21"/>
        <v>12.2913020268675</v>
      </c>
      <c r="E58">
        <f t="shared" si="21"/>
        <v>10.384199364000001</v>
      </c>
      <c r="F58">
        <f t="shared" si="21"/>
        <v>0.84324602543999994</v>
      </c>
      <c r="G58">
        <f t="shared" si="21"/>
        <v>7.0600732368599992</v>
      </c>
      <c r="H58">
        <f t="shared" si="21"/>
        <v>0.14110593531999999</v>
      </c>
      <c r="I58">
        <f t="shared" si="21"/>
        <v>-7.7257743359999992E-2</v>
      </c>
      <c r="J58">
        <f t="shared" si="21"/>
        <v>-0.18633953435999998</v>
      </c>
      <c r="K58">
        <f t="shared" si="21"/>
        <v>1.8870306240800001</v>
      </c>
      <c r="L58">
        <f t="shared" si="21"/>
        <v>0.170578103955</v>
      </c>
      <c r="M58">
        <f t="shared" si="21"/>
        <v>0.38441805640000004</v>
      </c>
      <c r="N58">
        <f t="shared" si="21"/>
        <v>2.9355172311465005</v>
      </c>
      <c r="O58">
        <f t="shared" si="21"/>
        <v>0</v>
      </c>
      <c r="P58">
        <f t="shared" si="21"/>
        <v>1.1576196140249999</v>
      </c>
      <c r="Q58">
        <f t="shared" si="21"/>
        <v>2.0492223494994994</v>
      </c>
      <c r="R58">
        <f t="shared" ref="R58:Y58" si="31">R$46*R41</f>
        <v>0</v>
      </c>
      <c r="S58">
        <f t="shared" si="31"/>
        <v>0</v>
      </c>
      <c r="T58">
        <f t="shared" si="31"/>
        <v>0</v>
      </c>
      <c r="U58">
        <f t="shared" si="31"/>
        <v>0</v>
      </c>
      <c r="V58">
        <f t="shared" si="31"/>
        <v>0</v>
      </c>
      <c r="W58">
        <f t="shared" si="31"/>
        <v>0</v>
      </c>
      <c r="X58">
        <f t="shared" si="31"/>
        <v>0.65761892027999991</v>
      </c>
      <c r="Y58">
        <f t="shared" si="31"/>
        <v>0.16028307837499997</v>
      </c>
      <c r="Z58" cm="1">
        <f t="array" ref="Z58">SUM(ABS(B58:Y58))</f>
        <v>81.833397960086685</v>
      </c>
    </row>
    <row r="60" spans="1:26" x14ac:dyDescent="0.2">
      <c r="B60" s="1" t="s">
        <v>19</v>
      </c>
      <c r="C60" s="1" t="s">
        <v>20</v>
      </c>
      <c r="D60" s="1" t="s">
        <v>21</v>
      </c>
      <c r="E60" s="1" t="s">
        <v>23</v>
      </c>
      <c r="F60" s="1" t="s">
        <v>22</v>
      </c>
      <c r="G60" s="1" t="s">
        <v>24</v>
      </c>
      <c r="H60" s="1" t="s">
        <v>25</v>
      </c>
      <c r="I60" s="1" t="s">
        <v>26</v>
      </c>
      <c r="J60" s="1" t="s">
        <v>27</v>
      </c>
      <c r="K60" s="1" t="s">
        <v>28</v>
      </c>
      <c r="L60" s="1" t="s">
        <v>29</v>
      </c>
      <c r="M60" s="1" t="s">
        <v>30</v>
      </c>
      <c r="N60" s="1" t="s">
        <v>31</v>
      </c>
      <c r="O60" s="1" t="s">
        <v>32</v>
      </c>
      <c r="P60" s="1" t="s">
        <v>33</v>
      </c>
      <c r="Q60" s="1" t="s">
        <v>34</v>
      </c>
      <c r="R60" s="1" t="s">
        <v>35</v>
      </c>
      <c r="S60" s="1" t="s">
        <v>36</v>
      </c>
      <c r="T60" s="1" t="s">
        <v>37</v>
      </c>
      <c r="U60" s="1" t="s">
        <v>38</v>
      </c>
      <c r="V60" s="1" t="s">
        <v>39</v>
      </c>
      <c r="W60" s="1" t="s">
        <v>40</v>
      </c>
      <c r="X60" s="1" t="s">
        <v>41</v>
      </c>
      <c r="Y60" s="1" t="s">
        <v>42</v>
      </c>
    </row>
    <row r="61" spans="1:26" x14ac:dyDescent="0.2">
      <c r="A61" s="1" t="s">
        <v>0</v>
      </c>
      <c r="B61">
        <f>ABS(B47/$Z47)</f>
        <v>5.1908081293542116E-2</v>
      </c>
      <c r="C61">
        <f>ABS(C47/$Z47)</f>
        <v>0.54721992194410363</v>
      </c>
      <c r="D61">
        <f t="shared" ref="D61:Y61" si="32">ABS(D47/$Z47)</f>
        <v>0.22432960438405333</v>
      </c>
      <c r="E61">
        <f t="shared" si="32"/>
        <v>4.5974469686011481E-2</v>
      </c>
      <c r="F61">
        <f t="shared" si="32"/>
        <v>3.7604904403173468E-3</v>
      </c>
      <c r="G61">
        <f t="shared" si="32"/>
        <v>5.1841767595207401E-2</v>
      </c>
      <c r="H61">
        <f t="shared" si="32"/>
        <v>2.7440852720430138E-3</v>
      </c>
      <c r="I61">
        <f t="shared" si="32"/>
        <v>9.1853327779651162E-4</v>
      </c>
      <c r="J61">
        <f t="shared" si="32"/>
        <v>1.8824377819224251E-2</v>
      </c>
      <c r="K61">
        <f t="shared" si="32"/>
        <v>1.2083378397456735E-2</v>
      </c>
      <c r="L61">
        <f t="shared" si="32"/>
        <v>9.3489402080426272E-5</v>
      </c>
      <c r="M61">
        <f t="shared" si="32"/>
        <v>8.7403950928721594E-3</v>
      </c>
      <c r="N61">
        <f t="shared" si="32"/>
        <v>2.044249641334819E-2</v>
      </c>
      <c r="O61">
        <f t="shared" si="32"/>
        <v>0</v>
      </c>
      <c r="P61">
        <f t="shared" si="32"/>
        <v>1.5428018752580385E-3</v>
      </c>
      <c r="Q61">
        <f t="shared" si="32"/>
        <v>1.1534144753667086E-3</v>
      </c>
      <c r="R61">
        <f t="shared" si="32"/>
        <v>0</v>
      </c>
      <c r="S61">
        <f t="shared" si="32"/>
        <v>0</v>
      </c>
      <c r="T61">
        <f t="shared" si="32"/>
        <v>0</v>
      </c>
      <c r="U61">
        <f t="shared" si="32"/>
        <v>0</v>
      </c>
      <c r="V61">
        <f t="shared" si="32"/>
        <v>0</v>
      </c>
      <c r="W61">
        <f t="shared" si="32"/>
        <v>0</v>
      </c>
      <c r="X61">
        <f t="shared" si="32"/>
        <v>7.9209107527394244E-3</v>
      </c>
      <c r="Y61">
        <f t="shared" si="32"/>
        <v>5.0178187857907784E-4</v>
      </c>
      <c r="Z61" cm="1">
        <f t="array" ref="Z61">SUM(ABS(B61:Y61))</f>
        <v>0.99999999999999989</v>
      </c>
    </row>
    <row r="62" spans="1:26" ht="15" customHeight="1" x14ac:dyDescent="0.2">
      <c r="A62" s="1" t="s">
        <v>1</v>
      </c>
      <c r="B62">
        <f>ABS(B48/$Z48)</f>
        <v>3.7802579956397978E-2</v>
      </c>
      <c r="C62">
        <f>ABS(C48/$Z48)</f>
        <v>0.58378245595973388</v>
      </c>
      <c r="D62">
        <f t="shared" ref="D62:Y62" si="33">ABS(D48/$Z48)</f>
        <v>0.2169561500575781</v>
      </c>
      <c r="E62">
        <f t="shared" si="33"/>
        <v>5.5166198459728019E-2</v>
      </c>
      <c r="F62">
        <f t="shared" si="33"/>
        <v>8.8227456836600005E-4</v>
      </c>
      <c r="G62">
        <f t="shared" si="33"/>
        <v>4.142840307268008E-2</v>
      </c>
      <c r="H62">
        <f t="shared" si="33"/>
        <v>3.0125390555878965E-3</v>
      </c>
      <c r="I62">
        <f t="shared" si="33"/>
        <v>5.4183717057457224E-4</v>
      </c>
      <c r="J62">
        <f t="shared" si="33"/>
        <v>1.5434166342684253E-2</v>
      </c>
      <c r="K62">
        <f t="shared" si="33"/>
        <v>1.3829095847246007E-2</v>
      </c>
      <c r="L62">
        <f t="shared" si="33"/>
        <v>2.3396472185783736E-4</v>
      </c>
      <c r="M62">
        <f t="shared" si="33"/>
        <v>6.2418017909222643E-3</v>
      </c>
      <c r="N62">
        <f t="shared" si="33"/>
        <v>1.1990387281697379E-2</v>
      </c>
      <c r="O62">
        <f t="shared" si="33"/>
        <v>0</v>
      </c>
      <c r="P62">
        <f t="shared" si="33"/>
        <v>4.7055758928839985E-3</v>
      </c>
      <c r="Q62">
        <f t="shared" si="33"/>
        <v>2.7061051598242645E-4</v>
      </c>
      <c r="R62">
        <f t="shared" si="33"/>
        <v>0</v>
      </c>
      <c r="S62">
        <f t="shared" si="33"/>
        <v>0</v>
      </c>
      <c r="T62">
        <f t="shared" si="33"/>
        <v>0</v>
      </c>
      <c r="U62">
        <f t="shared" si="33"/>
        <v>0</v>
      </c>
      <c r="V62">
        <f t="shared" si="33"/>
        <v>0</v>
      </c>
      <c r="W62">
        <f t="shared" si="33"/>
        <v>0</v>
      </c>
      <c r="X62">
        <f t="shared" si="33"/>
        <v>7.6173135253429988E-3</v>
      </c>
      <c r="Y62">
        <f t="shared" si="33"/>
        <v>1.0464578073607193E-4</v>
      </c>
      <c r="Z62" cm="1">
        <f t="array" ref="Z62">SUM(ABS(B62:Y62))</f>
        <v>0.99999999999999978</v>
      </c>
    </row>
    <row r="63" spans="1:26" x14ac:dyDescent="0.2">
      <c r="A63" s="1" t="s">
        <v>2</v>
      </c>
      <c r="B63">
        <f>ABS(B49/$Z49)</f>
        <v>2.9800838063350578E-2</v>
      </c>
      <c r="C63">
        <f>ABS(C49/$Z49)</f>
        <v>0.61406166748132274</v>
      </c>
      <c r="D63">
        <f t="shared" ref="D63:Y63" si="34">ABS(D49/$Z49)</f>
        <v>0.19861650832944028</v>
      </c>
      <c r="E63">
        <f t="shared" si="34"/>
        <v>5.6835142579092647E-2</v>
      </c>
      <c r="F63">
        <f t="shared" si="34"/>
        <v>6.4467963876060029E-4</v>
      </c>
      <c r="G63">
        <f t="shared" si="34"/>
        <v>4.0451121670404648E-2</v>
      </c>
      <c r="H63">
        <f t="shared" si="34"/>
        <v>3.0356192923431734E-3</v>
      </c>
      <c r="I63">
        <f t="shared" si="34"/>
        <v>3.9892081493923392E-4</v>
      </c>
      <c r="J63">
        <f t="shared" si="34"/>
        <v>1.4142628128320392E-2</v>
      </c>
      <c r="K63">
        <f t="shared" si="34"/>
        <v>1.4372119766623339E-2</v>
      </c>
      <c r="L63">
        <f t="shared" si="34"/>
        <v>3.6735714477525419E-4</v>
      </c>
      <c r="M63">
        <f t="shared" si="34"/>
        <v>5.4120130570617844E-3</v>
      </c>
      <c r="N63">
        <f t="shared" si="34"/>
        <v>7.7288045669318744E-3</v>
      </c>
      <c r="O63">
        <f t="shared" si="34"/>
        <v>0</v>
      </c>
      <c r="P63">
        <f t="shared" si="34"/>
        <v>5.8150064770002164E-3</v>
      </c>
      <c r="Q63">
        <f t="shared" si="34"/>
        <v>1.0734218196360135E-3</v>
      </c>
      <c r="R63">
        <f t="shared" si="34"/>
        <v>0</v>
      </c>
      <c r="S63">
        <f t="shared" si="34"/>
        <v>0</v>
      </c>
      <c r="T63">
        <f t="shared" si="34"/>
        <v>0</v>
      </c>
      <c r="U63">
        <f t="shared" si="34"/>
        <v>0</v>
      </c>
      <c r="V63">
        <f t="shared" si="34"/>
        <v>0</v>
      </c>
      <c r="W63">
        <f t="shared" si="34"/>
        <v>0</v>
      </c>
      <c r="X63">
        <f t="shared" si="34"/>
        <v>7.2095599223858595E-3</v>
      </c>
      <c r="Y63">
        <f t="shared" si="34"/>
        <v>3.4591247611333375E-5</v>
      </c>
      <c r="Z63" cm="1">
        <f t="array" ref="Z63">SUM(ABS(B63:Y63))</f>
        <v>0.99999999999999967</v>
      </c>
    </row>
    <row r="64" spans="1:26" x14ac:dyDescent="0.2">
      <c r="A64" s="1" t="s">
        <v>3</v>
      </c>
      <c r="B64">
        <f t="shared" ref="B64:C72" si="35">ABS(B50/$Z50)</f>
        <v>3.12551606986863E-2</v>
      </c>
      <c r="C64">
        <f t="shared" si="35"/>
        <v>0.52304704743728969</v>
      </c>
      <c r="D64">
        <f t="shared" ref="D64:Y64" si="36">ABS(D50/$Z50)</f>
        <v>0.19107237881659853</v>
      </c>
      <c r="E64">
        <f t="shared" si="36"/>
        <v>0.11575792271942605</v>
      </c>
      <c r="F64">
        <f t="shared" si="36"/>
        <v>1.0200485497617255E-2</v>
      </c>
      <c r="G64">
        <f t="shared" si="36"/>
        <v>5.0475297141352668E-2</v>
      </c>
      <c r="H64">
        <f t="shared" si="36"/>
        <v>3.3669998525904998E-3</v>
      </c>
      <c r="I64">
        <f t="shared" si="36"/>
        <v>5.6501825712089351E-4</v>
      </c>
      <c r="J64">
        <f t="shared" si="36"/>
        <v>7.2042561306713175E-3</v>
      </c>
      <c r="K64">
        <f t="shared" si="36"/>
        <v>1.830524965186308E-2</v>
      </c>
      <c r="L64">
        <f t="shared" si="36"/>
        <v>1.2959045373049903E-3</v>
      </c>
      <c r="M64">
        <f t="shared" si="36"/>
        <v>9.2429929712094922E-4</v>
      </c>
      <c r="N64">
        <f t="shared" si="36"/>
        <v>1.7069661930484786E-2</v>
      </c>
      <c r="O64">
        <f t="shared" si="36"/>
        <v>0</v>
      </c>
      <c r="P64">
        <f t="shared" si="36"/>
        <v>1.2455955735334439E-2</v>
      </c>
      <c r="Q64">
        <f t="shared" si="36"/>
        <v>7.5262986442204598E-3</v>
      </c>
      <c r="R64">
        <f t="shared" si="36"/>
        <v>0</v>
      </c>
      <c r="S64">
        <f t="shared" si="36"/>
        <v>0</v>
      </c>
      <c r="T64">
        <f t="shared" si="36"/>
        <v>0</v>
      </c>
      <c r="U64">
        <f t="shared" si="36"/>
        <v>0</v>
      </c>
      <c r="V64">
        <f t="shared" si="36"/>
        <v>0</v>
      </c>
      <c r="W64">
        <f t="shared" si="36"/>
        <v>0</v>
      </c>
      <c r="X64">
        <f t="shared" si="36"/>
        <v>7.9324067858888084E-3</v>
      </c>
      <c r="Y64">
        <f t="shared" si="36"/>
        <v>1.5456568664296236E-3</v>
      </c>
      <c r="Z64" cm="1">
        <f t="array" ref="Z64">SUM(ABS(B64:Y64))</f>
        <v>1.0000000000000002</v>
      </c>
    </row>
    <row r="65" spans="1:26" x14ac:dyDescent="0.2">
      <c r="A65" s="1" t="s">
        <v>4</v>
      </c>
      <c r="B65">
        <f t="shared" si="35"/>
        <v>3.1655030000392999E-2</v>
      </c>
      <c r="C65">
        <f t="shared" si="35"/>
        <v>0.5066078887172355</v>
      </c>
      <c r="D65">
        <f t="shared" ref="D65:Y65" si="37">ABS(D51/$Z51)</f>
        <v>0.19435510246310009</v>
      </c>
      <c r="E65">
        <f t="shared" si="37"/>
        <v>0.1232665217990969</v>
      </c>
      <c r="F65">
        <f t="shared" si="37"/>
        <v>1.2438095976005313E-2</v>
      </c>
      <c r="G65">
        <f t="shared" si="37"/>
        <v>5.1380254482641975E-2</v>
      </c>
      <c r="H65">
        <f t="shared" si="37"/>
        <v>6.5075085075272368E-3</v>
      </c>
      <c r="I65">
        <f t="shared" si="37"/>
        <v>1.5029253437699147E-4</v>
      </c>
      <c r="J65">
        <f t="shared" si="37"/>
        <v>6.9252516953411704E-3</v>
      </c>
      <c r="K65">
        <f t="shared" si="37"/>
        <v>1.8014799217921124E-2</v>
      </c>
      <c r="L65">
        <f t="shared" si="37"/>
        <v>1.4277154910612062E-3</v>
      </c>
      <c r="M65">
        <f t="shared" si="37"/>
        <v>1.19651776392001E-3</v>
      </c>
      <c r="N65">
        <f t="shared" si="37"/>
        <v>1.5018809576092584E-2</v>
      </c>
      <c r="O65">
        <f t="shared" si="37"/>
        <v>0</v>
      </c>
      <c r="P65">
        <f t="shared" si="37"/>
        <v>1.3218056007590578E-2</v>
      </c>
      <c r="Q65">
        <f t="shared" si="37"/>
        <v>8.3436023070956704E-3</v>
      </c>
      <c r="R65">
        <f t="shared" si="37"/>
        <v>0</v>
      </c>
      <c r="S65">
        <f t="shared" si="37"/>
        <v>0</v>
      </c>
      <c r="T65">
        <f t="shared" si="37"/>
        <v>0</v>
      </c>
      <c r="U65">
        <f t="shared" si="37"/>
        <v>0</v>
      </c>
      <c r="V65">
        <f t="shared" si="37"/>
        <v>0</v>
      </c>
      <c r="W65">
        <f t="shared" si="37"/>
        <v>0</v>
      </c>
      <c r="X65">
        <f t="shared" si="37"/>
        <v>7.7132607724573936E-3</v>
      </c>
      <c r="Y65">
        <f t="shared" si="37"/>
        <v>1.7812926881431604E-3</v>
      </c>
      <c r="Z65" cm="1">
        <f t="array" ref="Z65">SUM(ABS(B65:Y65))</f>
        <v>1</v>
      </c>
    </row>
    <row r="66" spans="1:26" x14ac:dyDescent="0.2">
      <c r="A66" s="1" t="s">
        <v>5</v>
      </c>
      <c r="B66">
        <f t="shared" si="35"/>
        <v>2.0477909499211983E-2</v>
      </c>
      <c r="C66">
        <f t="shared" si="35"/>
        <v>0.48869838751288813</v>
      </c>
      <c r="D66">
        <f t="shared" ref="D66:Y66" si="38">ABS(D52/$Z52)</f>
        <v>0.1604017955369085</v>
      </c>
      <c r="E66">
        <f t="shared" si="38"/>
        <v>0.14744273095834001</v>
      </c>
      <c r="F66">
        <f t="shared" si="38"/>
        <v>1.643520045087558E-2</v>
      </c>
      <c r="G66">
        <f t="shared" si="38"/>
        <v>5.4521374682821484E-2</v>
      </c>
      <c r="H66">
        <f t="shared" si="38"/>
        <v>5.9101991761597748E-3</v>
      </c>
      <c r="I66">
        <f t="shared" si="38"/>
        <v>1.4880906775452141E-4</v>
      </c>
      <c r="J66">
        <f t="shared" si="38"/>
        <v>1.9127130408185986E-3</v>
      </c>
      <c r="K66">
        <f t="shared" si="38"/>
        <v>2.4011324135312071E-2</v>
      </c>
      <c r="L66">
        <f t="shared" si="38"/>
        <v>2.4273398124083469E-3</v>
      </c>
      <c r="M66">
        <f t="shared" si="38"/>
        <v>8.0747169228707911E-3</v>
      </c>
      <c r="N66">
        <f t="shared" si="38"/>
        <v>3.260085623136285E-2</v>
      </c>
      <c r="O66">
        <f t="shared" si="38"/>
        <v>0</v>
      </c>
      <c r="P66">
        <f t="shared" si="38"/>
        <v>1.7058754324401518E-2</v>
      </c>
      <c r="Q66">
        <f t="shared" si="38"/>
        <v>9.8102302774984562E-3</v>
      </c>
      <c r="R66">
        <f t="shared" si="38"/>
        <v>0</v>
      </c>
      <c r="S66">
        <f t="shared" si="38"/>
        <v>0</v>
      </c>
      <c r="T66">
        <f t="shared" si="38"/>
        <v>0</v>
      </c>
      <c r="U66">
        <f t="shared" si="38"/>
        <v>0</v>
      </c>
      <c r="V66">
        <f t="shared" si="38"/>
        <v>0</v>
      </c>
      <c r="W66">
        <f t="shared" si="38"/>
        <v>0</v>
      </c>
      <c r="X66">
        <f t="shared" si="38"/>
        <v>7.9878112131299556E-3</v>
      </c>
      <c r="Y66">
        <f t="shared" si="38"/>
        <v>2.0798471572373496E-3</v>
      </c>
      <c r="Z66" cm="1">
        <f t="array" ref="Z66">SUM(ABS(B66:Y66))</f>
        <v>0.99999999999999989</v>
      </c>
    </row>
    <row r="67" spans="1:26" x14ac:dyDescent="0.2">
      <c r="A67" s="1" t="s">
        <v>6</v>
      </c>
      <c r="B67">
        <f t="shared" si="35"/>
        <v>1.7867782694117009E-2</v>
      </c>
      <c r="C67">
        <f t="shared" si="35"/>
        <v>0.46911134108666719</v>
      </c>
      <c r="D67">
        <f t="shared" ref="D67:Y67" si="39">ABS(D53/$Z53)</f>
        <v>0.14867941049262864</v>
      </c>
      <c r="E67">
        <f t="shared" si="39"/>
        <v>0.15813178863630795</v>
      </c>
      <c r="F67">
        <f t="shared" si="39"/>
        <v>1.8330565658927933E-2</v>
      </c>
      <c r="G67">
        <f t="shared" si="39"/>
        <v>6.142058696450077E-2</v>
      </c>
      <c r="H67">
        <f t="shared" si="39"/>
        <v>5.8569107684630197E-3</v>
      </c>
      <c r="I67">
        <f t="shared" si="39"/>
        <v>1.340471750003574E-4</v>
      </c>
      <c r="J67">
        <f t="shared" si="39"/>
        <v>4.39635009161539E-3</v>
      </c>
      <c r="K67">
        <f t="shared" si="39"/>
        <v>2.470532754034389E-2</v>
      </c>
      <c r="L67">
        <f t="shared" si="39"/>
        <v>2.724683176195633E-3</v>
      </c>
      <c r="M67">
        <f t="shared" si="39"/>
        <v>1.0075474863014919E-2</v>
      </c>
      <c r="N67">
        <f t="shared" si="39"/>
        <v>3.892546382846173E-2</v>
      </c>
      <c r="O67">
        <f t="shared" si="39"/>
        <v>0</v>
      </c>
      <c r="P67">
        <f t="shared" si="39"/>
        <v>1.8321622486867247E-2</v>
      </c>
      <c r="Q67">
        <f t="shared" si="39"/>
        <v>1.1046316553865419E-2</v>
      </c>
      <c r="R67">
        <f t="shared" si="39"/>
        <v>0</v>
      </c>
      <c r="S67">
        <f t="shared" si="39"/>
        <v>0</v>
      </c>
      <c r="T67">
        <f t="shared" si="39"/>
        <v>0</v>
      </c>
      <c r="U67">
        <f t="shared" si="39"/>
        <v>0</v>
      </c>
      <c r="V67">
        <f t="shared" si="39"/>
        <v>0</v>
      </c>
      <c r="W67">
        <f t="shared" si="39"/>
        <v>0</v>
      </c>
      <c r="X67">
        <f t="shared" si="39"/>
        <v>7.943865967771151E-3</v>
      </c>
      <c r="Y67">
        <f t="shared" si="39"/>
        <v>2.3284620152516913E-3</v>
      </c>
      <c r="Z67" cm="1">
        <f t="array" ref="Z67">SUM(ABS(B67:Y67))</f>
        <v>1</v>
      </c>
    </row>
    <row r="68" spans="1:26" x14ac:dyDescent="0.2">
      <c r="A68" s="1" t="s">
        <v>7</v>
      </c>
      <c r="B68">
        <f t="shared" si="35"/>
        <v>2.2504589279489014E-2</v>
      </c>
      <c r="C68">
        <f t="shared" si="35"/>
        <v>0.51362172753752466</v>
      </c>
      <c r="D68">
        <f t="shared" ref="D68:Y68" si="40">ABS(D54/$Z54)</f>
        <v>0.16859232110743214</v>
      </c>
      <c r="E68">
        <f t="shared" si="40"/>
        <v>0.13119998279673653</v>
      </c>
      <c r="F68">
        <f t="shared" si="40"/>
        <v>1.3210085964186212E-2</v>
      </c>
      <c r="G68">
        <f t="shared" si="40"/>
        <v>5.5452513083141697E-2</v>
      </c>
      <c r="H68">
        <f t="shared" si="40"/>
        <v>5.7252911604409118E-3</v>
      </c>
      <c r="I68">
        <f t="shared" si="40"/>
        <v>3.8539645800793536E-5</v>
      </c>
      <c r="J68">
        <f t="shared" si="40"/>
        <v>1.8113653049812858E-3</v>
      </c>
      <c r="K68">
        <f t="shared" si="40"/>
        <v>2.2436255663670711E-2</v>
      </c>
      <c r="L68">
        <f t="shared" si="40"/>
        <v>2.1508981876753332E-3</v>
      </c>
      <c r="M68">
        <f t="shared" si="40"/>
        <v>5.1853272021668232E-3</v>
      </c>
      <c r="N68">
        <f t="shared" si="40"/>
        <v>2.4879310476882091E-2</v>
      </c>
      <c r="O68">
        <f t="shared" si="40"/>
        <v>0</v>
      </c>
      <c r="P68">
        <f t="shared" si="40"/>
        <v>1.488525900548225E-2</v>
      </c>
      <c r="Q68">
        <f t="shared" si="40"/>
        <v>8.6384622913248492E-3</v>
      </c>
      <c r="R68">
        <f t="shared" si="40"/>
        <v>0</v>
      </c>
      <c r="S68">
        <f t="shared" si="40"/>
        <v>0</v>
      </c>
      <c r="T68">
        <f t="shared" si="40"/>
        <v>0</v>
      </c>
      <c r="U68">
        <f t="shared" si="40"/>
        <v>0</v>
      </c>
      <c r="V68">
        <f t="shared" si="40"/>
        <v>0</v>
      </c>
      <c r="W68">
        <f t="shared" si="40"/>
        <v>0</v>
      </c>
      <c r="X68">
        <f t="shared" si="40"/>
        <v>7.8995630720550235E-3</v>
      </c>
      <c r="Y68">
        <f t="shared" si="40"/>
        <v>1.7685082210099356E-3</v>
      </c>
      <c r="Z68" cm="1">
        <f t="array" ref="Z68">SUM(ABS(B68:Y68))</f>
        <v>1.0000000000000002</v>
      </c>
    </row>
    <row r="69" spans="1:26" x14ac:dyDescent="0.2">
      <c r="A69" s="1" t="s">
        <v>8</v>
      </c>
      <c r="B69">
        <f t="shared" si="35"/>
        <v>2.0167019997759605E-2</v>
      </c>
      <c r="C69">
        <f t="shared" si="35"/>
        <v>0.51051162743861944</v>
      </c>
      <c r="D69">
        <f t="shared" ref="D69:Y69" si="41">ABS(D55/$Z55)</f>
        <v>0.15933363638113152</v>
      </c>
      <c r="E69">
        <f t="shared" si="41"/>
        <v>0.13227514953133793</v>
      </c>
      <c r="F69">
        <f t="shared" si="41"/>
        <v>1.2865836555578259E-2</v>
      </c>
      <c r="G69">
        <f t="shared" si="41"/>
        <v>6.1226671798396158E-2</v>
      </c>
      <c r="H69">
        <f t="shared" si="41"/>
        <v>4.7726934820324094E-3</v>
      </c>
      <c r="I69">
        <f t="shared" si="41"/>
        <v>1.5214985282579934E-4</v>
      </c>
      <c r="J69">
        <f t="shared" si="41"/>
        <v>1.1567876278636971E-3</v>
      </c>
      <c r="K69">
        <f t="shared" si="41"/>
        <v>2.3015308505848545E-2</v>
      </c>
      <c r="L69">
        <f t="shared" si="41"/>
        <v>2.1499718554187628E-3</v>
      </c>
      <c r="M69">
        <f t="shared" si="41"/>
        <v>5.5417174323149632E-3</v>
      </c>
      <c r="N69">
        <f t="shared" si="41"/>
        <v>3.3110531829557928E-2</v>
      </c>
      <c r="O69">
        <f t="shared" si="41"/>
        <v>0</v>
      </c>
      <c r="P69">
        <f t="shared" si="41"/>
        <v>1.5127342973984097E-2</v>
      </c>
      <c r="Q69">
        <f t="shared" si="41"/>
        <v>9.0274242281644518E-3</v>
      </c>
      <c r="R69">
        <f t="shared" si="41"/>
        <v>0</v>
      </c>
      <c r="S69">
        <f t="shared" si="41"/>
        <v>0</v>
      </c>
      <c r="T69">
        <f t="shared" si="41"/>
        <v>0</v>
      </c>
      <c r="U69">
        <f t="shared" si="41"/>
        <v>0</v>
      </c>
      <c r="V69">
        <f t="shared" si="41"/>
        <v>0</v>
      </c>
      <c r="W69">
        <f t="shared" si="41"/>
        <v>0</v>
      </c>
      <c r="X69">
        <f t="shared" si="41"/>
        <v>7.7398579344789874E-3</v>
      </c>
      <c r="Y69">
        <f t="shared" si="41"/>
        <v>1.8262725746870977E-3</v>
      </c>
      <c r="Z69" cm="1">
        <f t="array" ref="Z69">SUM(ABS(B69:Y69))</f>
        <v>0.99999999999999967</v>
      </c>
    </row>
    <row r="70" spans="1:26" x14ac:dyDescent="0.2">
      <c r="A70" s="1" t="s">
        <v>9</v>
      </c>
      <c r="B70">
        <f t="shared" si="35"/>
        <v>1.9355267871006856E-2</v>
      </c>
      <c r="C70">
        <f t="shared" si="35"/>
        <v>0.52231588408725027</v>
      </c>
      <c r="D70">
        <f t="shared" ref="D70:Y70" si="42">ABS(D56/$Z56)</f>
        <v>0.15792780145103383</v>
      </c>
      <c r="E70">
        <f t="shared" si="42"/>
        <v>0.12821084443048164</v>
      </c>
      <c r="F70">
        <f t="shared" si="42"/>
        <v>1.1843547680431055E-2</v>
      </c>
      <c r="G70">
        <f t="shared" si="42"/>
        <v>5.8916064514045581E-2</v>
      </c>
      <c r="H70">
        <f t="shared" si="42"/>
        <v>4.6867662607423324E-3</v>
      </c>
      <c r="I70">
        <f t="shared" si="42"/>
        <v>1.2182707045250728E-4</v>
      </c>
      <c r="J70">
        <f t="shared" si="42"/>
        <v>1.473571668365546E-3</v>
      </c>
      <c r="K70">
        <f t="shared" si="42"/>
        <v>2.2830359387474391E-2</v>
      </c>
      <c r="L70">
        <f t="shared" si="42"/>
        <v>2.1156993491777258E-3</v>
      </c>
      <c r="M70">
        <f t="shared" si="42"/>
        <v>5.2131955062352086E-3</v>
      </c>
      <c r="N70">
        <f t="shared" si="42"/>
        <v>3.2027619301764988E-2</v>
      </c>
      <c r="O70">
        <f t="shared" si="42"/>
        <v>0</v>
      </c>
      <c r="P70">
        <f t="shared" si="42"/>
        <v>1.5342092225635111E-2</v>
      </c>
      <c r="Q70">
        <f t="shared" si="42"/>
        <v>8.2824260762080163E-3</v>
      </c>
      <c r="R70">
        <f t="shared" si="42"/>
        <v>0</v>
      </c>
      <c r="S70">
        <f t="shared" si="42"/>
        <v>0</v>
      </c>
      <c r="T70">
        <f t="shared" si="42"/>
        <v>0</v>
      </c>
      <c r="U70">
        <f t="shared" si="42"/>
        <v>0</v>
      </c>
      <c r="V70">
        <f t="shared" si="42"/>
        <v>0</v>
      </c>
      <c r="W70">
        <f t="shared" si="42"/>
        <v>0</v>
      </c>
      <c r="X70">
        <f t="shared" si="42"/>
        <v>7.6709116686028457E-3</v>
      </c>
      <c r="Y70">
        <f t="shared" si="42"/>
        <v>1.6661214510923614E-3</v>
      </c>
      <c r="Z70" cm="1">
        <f t="array" ref="Z70">SUM(ABS(B70:Y70))</f>
        <v>1.0000000000000004</v>
      </c>
    </row>
    <row r="71" spans="1:26" x14ac:dyDescent="0.2">
      <c r="A71" s="1" t="s">
        <v>10</v>
      </c>
      <c r="B71">
        <f t="shared" si="35"/>
        <v>2.1778236173533597E-2</v>
      </c>
      <c r="C71">
        <f t="shared" si="35"/>
        <v>0.48060241133183423</v>
      </c>
      <c r="D71">
        <f t="shared" ref="D71:Y71" si="43">ABS(D57/$Z57)</f>
        <v>0.15652984485525537</v>
      </c>
      <c r="E71">
        <f t="shared" si="43"/>
        <v>0.13196476908297755</v>
      </c>
      <c r="F71">
        <f t="shared" si="43"/>
        <v>1.1293058950728982E-2</v>
      </c>
      <c r="G71">
        <f t="shared" si="43"/>
        <v>7.8174866126315898E-2</v>
      </c>
      <c r="H71">
        <f t="shared" si="43"/>
        <v>2.811448456202935E-3</v>
      </c>
      <c r="I71">
        <f t="shared" si="43"/>
        <v>7.1995565750051084E-4</v>
      </c>
      <c r="J71">
        <f t="shared" si="43"/>
        <v>1.4364200522656494E-3</v>
      </c>
      <c r="K71">
        <f t="shared" si="43"/>
        <v>2.3254975494303758E-2</v>
      </c>
      <c r="L71">
        <f t="shared" si="43"/>
        <v>2.1593069154697882E-3</v>
      </c>
      <c r="M71">
        <f t="shared" si="43"/>
        <v>5.3772118809435653E-3</v>
      </c>
      <c r="N71">
        <f t="shared" si="43"/>
        <v>3.4797448317205611E-2</v>
      </c>
      <c r="O71">
        <f t="shared" si="43"/>
        <v>0</v>
      </c>
      <c r="P71">
        <f t="shared" si="43"/>
        <v>1.4955288154430202E-2</v>
      </c>
      <c r="Q71">
        <f t="shared" si="43"/>
        <v>2.3976175030275063E-2</v>
      </c>
      <c r="R71">
        <f t="shared" si="43"/>
        <v>0</v>
      </c>
      <c r="S71">
        <f t="shared" si="43"/>
        <v>0</v>
      </c>
      <c r="T71">
        <f t="shared" si="43"/>
        <v>0</v>
      </c>
      <c r="U71">
        <f t="shared" si="43"/>
        <v>0</v>
      </c>
      <c r="V71">
        <f t="shared" si="43"/>
        <v>0</v>
      </c>
      <c r="W71">
        <f t="shared" si="43"/>
        <v>0</v>
      </c>
      <c r="X71">
        <f t="shared" si="43"/>
        <v>8.1975698321851177E-3</v>
      </c>
      <c r="Y71">
        <f t="shared" si="43"/>
        <v>1.9710136885721188E-3</v>
      </c>
      <c r="Z71" cm="1">
        <f t="array" ref="Z71">SUM(ABS(B71:Y71))</f>
        <v>0.99999999999999989</v>
      </c>
    </row>
    <row r="72" spans="1:26" x14ac:dyDescent="0.2">
      <c r="A72" s="1" t="s">
        <v>11</v>
      </c>
      <c r="B72">
        <f t="shared" si="35"/>
        <v>2.1373797154489532E-2</v>
      </c>
      <c r="C72">
        <f t="shared" si="35"/>
        <v>0.48511361690026844</v>
      </c>
      <c r="D72">
        <f t="shared" ref="D72:Y72" si="44">ABS(D58/$Z58)</f>
        <v>0.15019909148661337</v>
      </c>
      <c r="E72">
        <f t="shared" si="44"/>
        <v>0.12689439303332822</v>
      </c>
      <c r="F72">
        <f t="shared" si="44"/>
        <v>1.0304423944992284E-2</v>
      </c>
      <c r="G72">
        <f t="shared" si="44"/>
        <v>8.6273739241568212E-2</v>
      </c>
      <c r="H72">
        <f t="shared" si="44"/>
        <v>1.7243074201663093E-3</v>
      </c>
      <c r="I72">
        <f t="shared" si="44"/>
        <v>9.4408573132551067E-4</v>
      </c>
      <c r="J72">
        <f t="shared" si="44"/>
        <v>2.2770597213974298E-3</v>
      </c>
      <c r="K72">
        <f t="shared" si="44"/>
        <v>2.3059419150606185E-2</v>
      </c>
      <c r="L72">
        <f t="shared" si="44"/>
        <v>2.0844558359680672E-3</v>
      </c>
      <c r="M72">
        <f t="shared" si="44"/>
        <v>4.697569280790413E-3</v>
      </c>
      <c r="N72">
        <f t="shared" si="44"/>
        <v>3.5871872662287176E-2</v>
      </c>
      <c r="O72">
        <f t="shared" si="44"/>
        <v>0</v>
      </c>
      <c r="P72">
        <f t="shared" si="44"/>
        <v>1.4146053358185319E-2</v>
      </c>
      <c r="Q72">
        <f t="shared" si="44"/>
        <v>2.5041393863407511E-2</v>
      </c>
      <c r="R72">
        <f t="shared" si="44"/>
        <v>0</v>
      </c>
      <c r="S72">
        <f t="shared" si="44"/>
        <v>0</v>
      </c>
      <c r="T72">
        <f t="shared" si="44"/>
        <v>0</v>
      </c>
      <c r="U72">
        <f t="shared" si="44"/>
        <v>0</v>
      </c>
      <c r="V72">
        <f t="shared" si="44"/>
        <v>0</v>
      </c>
      <c r="W72">
        <f t="shared" si="44"/>
        <v>0</v>
      </c>
      <c r="X72">
        <f t="shared" si="44"/>
        <v>8.0360700725240087E-3</v>
      </c>
      <c r="Y72">
        <f t="shared" si="44"/>
        <v>1.9586511420823099E-3</v>
      </c>
      <c r="Z72" cm="1">
        <f t="array" ref="Z72">SUM(ABS(B72:Y72))</f>
        <v>1.0000000000000004</v>
      </c>
    </row>
    <row r="73" spans="1:26" x14ac:dyDescent="0.2">
      <c r="A73" s="1"/>
    </row>
    <row r="74" spans="1:26" x14ac:dyDescent="0.2">
      <c r="A74" s="1"/>
    </row>
    <row r="75" spans="1:26" x14ac:dyDescent="0.2">
      <c r="A75" s="1" t="s">
        <v>16</v>
      </c>
    </row>
    <row r="76" spans="1:26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26" x14ac:dyDescent="0.2">
      <c r="B77" s="1" t="s">
        <v>0</v>
      </c>
      <c r="C77" s="1" t="s">
        <v>1</v>
      </c>
      <c r="D77" s="1" t="s">
        <v>2</v>
      </c>
      <c r="E77" s="1" t="s">
        <v>3</v>
      </c>
      <c r="F77" s="1" t="s">
        <v>4</v>
      </c>
      <c r="G77" s="1" t="s">
        <v>5</v>
      </c>
      <c r="H77" s="1" t="s">
        <v>6</v>
      </c>
      <c r="I77" s="1" t="s">
        <v>7</v>
      </c>
      <c r="J77" s="1" t="s">
        <v>8</v>
      </c>
      <c r="K77" s="1" t="s">
        <v>9</v>
      </c>
      <c r="L77" s="1" t="s">
        <v>10</v>
      </c>
      <c r="M77" s="1" t="s">
        <v>11</v>
      </c>
    </row>
    <row r="78" spans="1:26" x14ac:dyDescent="0.2">
      <c r="A78" s="1" t="s">
        <v>19</v>
      </c>
      <c r="B78">
        <v>162.79413264901498</v>
      </c>
      <c r="C78">
        <v>126.32984100303</v>
      </c>
      <c r="D78">
        <v>100.42624584468001</v>
      </c>
      <c r="E78">
        <v>110.78768390802001</v>
      </c>
      <c r="F78">
        <v>109.79139178654502</v>
      </c>
      <c r="G78">
        <v>71.733032746199996</v>
      </c>
      <c r="H78">
        <v>62.168628380039998</v>
      </c>
      <c r="I78">
        <v>80.101886566590011</v>
      </c>
      <c r="J78">
        <v>72.72932486767499</v>
      </c>
      <c r="K78">
        <v>69.740448503249993</v>
      </c>
      <c r="L78">
        <v>80.500403415180003</v>
      </c>
      <c r="M78">
        <v>79.504111293705009</v>
      </c>
    </row>
    <row r="79" spans="1:26" x14ac:dyDescent="0.2">
      <c r="A79" s="1" t="s">
        <v>20</v>
      </c>
      <c r="B79">
        <v>7.5361689621050001</v>
      </c>
      <c r="C79">
        <v>8.5668369882899995</v>
      </c>
      <c r="D79">
        <v>9.0868988363650001</v>
      </c>
      <c r="E79">
        <v>8.1413318398649999</v>
      </c>
      <c r="F79">
        <v>7.7158266914399993</v>
      </c>
      <c r="G79">
        <v>7.5172576221749994</v>
      </c>
      <c r="H79">
        <v>7.1673978334699999</v>
      </c>
      <c r="I79">
        <v>8.0278638002849991</v>
      </c>
      <c r="J79">
        <v>8.0845978200749986</v>
      </c>
      <c r="K79">
        <v>8.2642555494099987</v>
      </c>
      <c r="L79">
        <v>7.8009277211249985</v>
      </c>
      <c r="M79">
        <v>7.9238514306700001</v>
      </c>
    </row>
    <row r="80" spans="1:26" x14ac:dyDescent="0.2">
      <c r="A80" s="1" t="s">
        <v>21</v>
      </c>
      <c r="B80">
        <v>4.6480287945000001</v>
      </c>
      <c r="C80">
        <v>4.7899934748749997</v>
      </c>
      <c r="D80">
        <v>4.4219368961249996</v>
      </c>
      <c r="E80">
        <v>4.4745164073749999</v>
      </c>
      <c r="F80">
        <v>4.4534846028750001</v>
      </c>
      <c r="G80">
        <v>3.7121134942499996</v>
      </c>
      <c r="H80">
        <v>3.41766823125</v>
      </c>
      <c r="I80">
        <v>3.9644951482500002</v>
      </c>
      <c r="J80">
        <v>3.7962407122499999</v>
      </c>
      <c r="K80">
        <v>3.7594350543749999</v>
      </c>
      <c r="L80">
        <v>3.8225304678749996</v>
      </c>
      <c r="M80">
        <v>3.6910816897499998</v>
      </c>
    </row>
    <row r="81" spans="1:13" x14ac:dyDescent="0.2">
      <c r="A81" s="1" t="s">
        <v>23</v>
      </c>
      <c r="B81">
        <v>0.10573576860000002</v>
      </c>
      <c r="C81">
        <v>0.13519449019999999</v>
      </c>
      <c r="D81">
        <v>0.1404549762</v>
      </c>
      <c r="E81">
        <v>0.30089979919999993</v>
      </c>
      <c r="F81">
        <v>0.31352496559999998</v>
      </c>
      <c r="G81">
        <v>0.37875499199999996</v>
      </c>
      <c r="H81">
        <v>0.40347927619999996</v>
      </c>
      <c r="I81">
        <v>0.3424576386</v>
      </c>
      <c r="J81">
        <v>0.34982231899999999</v>
      </c>
      <c r="K81">
        <v>0.33877529839999998</v>
      </c>
      <c r="L81">
        <v>0.35771304800000003</v>
      </c>
      <c r="M81">
        <v>0.34613997880000003</v>
      </c>
    </row>
    <row r="82" spans="1:13" x14ac:dyDescent="0.2">
      <c r="A82" s="1" t="s">
        <v>22</v>
      </c>
      <c r="B82">
        <v>3.5062204799999998E-3</v>
      </c>
      <c r="C82">
        <v>8.7655511999999995E-4</v>
      </c>
      <c r="D82">
        <v>-6.4588272000000002E-4</v>
      </c>
      <c r="E82">
        <v>-1.074933384E-2</v>
      </c>
      <c r="F82">
        <v>-1.282538544E-2</v>
      </c>
      <c r="G82">
        <v>-1.711589208E-2</v>
      </c>
      <c r="H82">
        <v>-1.8961271280000001E-2</v>
      </c>
      <c r="I82">
        <v>-1.397874744E-2</v>
      </c>
      <c r="J82">
        <v>-1.3794209519999998E-2</v>
      </c>
      <c r="K82">
        <v>-1.2686982000000001E-2</v>
      </c>
      <c r="L82">
        <v>-1.2410175120000002E-2</v>
      </c>
      <c r="M82">
        <v>-1.1395216559999999E-2</v>
      </c>
    </row>
    <row r="83" spans="1:13" x14ac:dyDescent="0.2">
      <c r="A83" s="1" t="s">
        <v>24</v>
      </c>
      <c r="B83">
        <v>-6.2752552835000003E-2</v>
      </c>
      <c r="C83">
        <v>-5.3435579924999997E-2</v>
      </c>
      <c r="D83">
        <v>-5.2613494079999996E-2</v>
      </c>
      <c r="E83">
        <v>-6.905521097999999E-2</v>
      </c>
      <c r="F83">
        <v>-6.8781182364999999E-2</v>
      </c>
      <c r="G83">
        <v>-7.3713697435000003E-2</v>
      </c>
      <c r="H83">
        <v>-8.2482613114999992E-2</v>
      </c>
      <c r="I83">
        <v>-7.6179954970000005E-2</v>
      </c>
      <c r="J83">
        <v>-8.5222899264999999E-2</v>
      </c>
      <c r="K83">
        <v>-8.1934555884999996E-2</v>
      </c>
      <c r="L83">
        <v>-0.11152964630499998</v>
      </c>
      <c r="M83">
        <v>-0.12386093397999999</v>
      </c>
    </row>
    <row r="84" spans="1:13" x14ac:dyDescent="0.2">
      <c r="A84" s="1" t="s">
        <v>25</v>
      </c>
      <c r="B84">
        <v>2.3666501809999997E-2</v>
      </c>
      <c r="C84">
        <v>2.7685341739999998E-2</v>
      </c>
      <c r="D84">
        <v>2.8131879509999996E-2</v>
      </c>
      <c r="E84">
        <v>3.2820526094999997E-2</v>
      </c>
      <c r="F84">
        <v>6.2068750029999994E-2</v>
      </c>
      <c r="G84">
        <v>5.6933565674999992E-2</v>
      </c>
      <c r="H84">
        <v>5.6040490134999989E-2</v>
      </c>
      <c r="I84">
        <v>5.6040490134999989E-2</v>
      </c>
      <c r="J84">
        <v>4.7333003619999994E-2</v>
      </c>
      <c r="K84">
        <v>4.6439928079999991E-2</v>
      </c>
      <c r="L84">
        <v>2.8578417279999994E-2</v>
      </c>
      <c r="M84">
        <v>1.7638241914999998E-2</v>
      </c>
    </row>
    <row r="85" spans="1:13" x14ac:dyDescent="0.2">
      <c r="A85" s="1" t="s">
        <v>26</v>
      </c>
      <c r="B85">
        <v>-2.1125164199999994E-2</v>
      </c>
      <c r="C85">
        <v>-1.3278674639999998E-2</v>
      </c>
      <c r="D85">
        <v>-9.8584099599999999E-3</v>
      </c>
      <c r="E85">
        <v>-1.4687018919999998E-2</v>
      </c>
      <c r="F85">
        <v>3.8226487599999997E-3</v>
      </c>
      <c r="G85">
        <v>3.8226487599999997E-3</v>
      </c>
      <c r="H85">
        <v>3.4202646799999996E-3</v>
      </c>
      <c r="I85">
        <v>1.0059601999999998E-3</v>
      </c>
      <c r="J85">
        <v>-4.0238407999999993E-3</v>
      </c>
      <c r="K85">
        <v>-3.21907264E-3</v>
      </c>
      <c r="L85">
        <v>-1.9515627879999997E-2</v>
      </c>
      <c r="M85">
        <v>-2.575258112E-2</v>
      </c>
    </row>
    <row r="86" spans="1:13" x14ac:dyDescent="0.2">
      <c r="A86" s="1" t="s">
        <v>27</v>
      </c>
      <c r="B86">
        <v>-0.21646906106000002</v>
      </c>
      <c r="C86">
        <v>-0.18912072143999997</v>
      </c>
      <c r="D86">
        <v>-0.17475125485999998</v>
      </c>
      <c r="E86">
        <v>-9.3633298359999992E-2</v>
      </c>
      <c r="F86">
        <v>-8.8070924199999998E-2</v>
      </c>
      <c r="G86">
        <v>2.4567152539999998E-2</v>
      </c>
      <c r="H86">
        <v>5.6087272779999996E-2</v>
      </c>
      <c r="I86">
        <v>-2.3640090179999997E-2</v>
      </c>
      <c r="J86">
        <v>-1.5296528939999998E-2</v>
      </c>
      <c r="K86">
        <v>-1.9468309559999997E-2</v>
      </c>
      <c r="L86">
        <v>-1.9468309559999997E-2</v>
      </c>
      <c r="M86">
        <v>-3.1056589059999997E-2</v>
      </c>
    </row>
    <row r="87" spans="1:13" x14ac:dyDescent="0.2">
      <c r="A87" s="1" t="s">
        <v>28</v>
      </c>
      <c r="B87">
        <v>0.83370965072499992</v>
      </c>
      <c r="C87">
        <v>1.01671908625</v>
      </c>
      <c r="D87">
        <v>1.06552160239</v>
      </c>
      <c r="E87">
        <v>1.4274735970949999</v>
      </c>
      <c r="F87">
        <v>1.37460420461</v>
      </c>
      <c r="G87">
        <v>1.8504287369750001</v>
      </c>
      <c r="H87">
        <v>1.8910975004249999</v>
      </c>
      <c r="I87">
        <v>1.75689058104</v>
      </c>
      <c r="J87">
        <v>1.8260274789050002</v>
      </c>
      <c r="K87">
        <v>1.8097599735250001</v>
      </c>
      <c r="L87">
        <v>1.8910975004249999</v>
      </c>
      <c r="M87">
        <v>1.8870306240800001</v>
      </c>
    </row>
    <row r="88" spans="1:13" x14ac:dyDescent="0.2">
      <c r="A88" s="1" t="s">
        <v>29</v>
      </c>
      <c r="B88">
        <v>4.3002883349999993E-3</v>
      </c>
      <c r="C88">
        <v>1.1467435560000001E-2</v>
      </c>
      <c r="D88">
        <v>1.8156772970000002E-2</v>
      </c>
      <c r="E88">
        <v>6.7371183914999994E-2</v>
      </c>
      <c r="F88">
        <v>7.2627091880000008E-2</v>
      </c>
      <c r="G88">
        <v>0.12470836171499999</v>
      </c>
      <c r="H88">
        <v>0.139042656165</v>
      </c>
      <c r="I88">
        <v>0.11228530652499999</v>
      </c>
      <c r="J88">
        <v>0.11371873597</v>
      </c>
      <c r="K88">
        <v>0.11180749671</v>
      </c>
      <c r="L88">
        <v>0.117063404675</v>
      </c>
      <c r="M88">
        <v>0.11371873597</v>
      </c>
    </row>
    <row r="89" spans="1:13" x14ac:dyDescent="0.2">
      <c r="A89" s="1" t="s">
        <v>30</v>
      </c>
      <c r="B89">
        <v>-0.140245540925</v>
      </c>
      <c r="C89">
        <v>-0.106720710425</v>
      </c>
      <c r="D89">
        <v>-9.3310778225000002E-2</v>
      </c>
      <c r="E89">
        <v>1.6762415249999999E-2</v>
      </c>
      <c r="F89">
        <v>2.1232392649999998E-2</v>
      </c>
      <c r="G89">
        <v>0.14471551832500001</v>
      </c>
      <c r="H89">
        <v>0.179357843175</v>
      </c>
      <c r="I89">
        <v>9.4428272575E-2</v>
      </c>
      <c r="J89">
        <v>0.10225073302499998</v>
      </c>
      <c r="K89">
        <v>9.6104514099999996E-2</v>
      </c>
      <c r="L89">
        <v>0.10169198585</v>
      </c>
      <c r="M89">
        <v>8.9399548000000009E-2</v>
      </c>
    </row>
    <row r="90" spans="1:13" x14ac:dyDescent="0.2">
      <c r="A90" s="1" t="s">
        <v>31</v>
      </c>
      <c r="B90">
        <v>-9.8633477600000005E-2</v>
      </c>
      <c r="C90">
        <v>-6.1645923499999998E-2</v>
      </c>
      <c r="D90">
        <v>-4.0069850274999999E-2</v>
      </c>
      <c r="E90">
        <v>9.3085344484999999E-2</v>
      </c>
      <c r="F90">
        <v>8.0139700549999998E-2</v>
      </c>
      <c r="G90">
        <v>0.17569088197499999</v>
      </c>
      <c r="H90">
        <v>0.20836322143</v>
      </c>
      <c r="I90">
        <v>0.13623749093499998</v>
      </c>
      <c r="J90">
        <v>0.18370485203</v>
      </c>
      <c r="K90">
        <v>0.17754025967999998</v>
      </c>
      <c r="L90">
        <v>0.19788341443500002</v>
      </c>
      <c r="M90">
        <v>0.20528092525500002</v>
      </c>
    </row>
    <row r="91" spans="1:13" x14ac:dyDescent="0.2">
      <c r="A91" s="1" t="s">
        <v>32</v>
      </c>
      <c r="B91">
        <v>-7.2870322559999992E-2</v>
      </c>
      <c r="C91">
        <v>-7.9701915299999995E-2</v>
      </c>
      <c r="D91">
        <v>-7.4767987209999998E-2</v>
      </c>
      <c r="E91">
        <v>-7.894284943999999E-2</v>
      </c>
      <c r="F91">
        <v>-7.2111256699999987E-2</v>
      </c>
      <c r="G91">
        <v>-7.1352190839999996E-2</v>
      </c>
      <c r="H91">
        <v>-6.831592739999999E-2</v>
      </c>
      <c r="I91">
        <v>-7.3629388419999997E-2</v>
      </c>
      <c r="J91">
        <v>-7.6665651860000003E-2</v>
      </c>
      <c r="K91">
        <v>-7.6286118929999994E-2</v>
      </c>
      <c r="L91">
        <v>-8.3117711669999997E-2</v>
      </c>
      <c r="M91">
        <v>-8.3117711669999997E-2</v>
      </c>
    </row>
    <row r="92" spans="1:13" x14ac:dyDescent="0.2">
      <c r="A92" s="1" t="s">
        <v>33</v>
      </c>
      <c r="B92">
        <v>0.1064477806</v>
      </c>
      <c r="C92">
        <v>0.34595528695000005</v>
      </c>
      <c r="D92">
        <v>0.43111351142999998</v>
      </c>
      <c r="E92">
        <v>0.97133599797499992</v>
      </c>
      <c r="F92">
        <v>1.0085927211850001</v>
      </c>
      <c r="G92">
        <v>1.3146300904099999</v>
      </c>
      <c r="H92">
        <v>1.402449509405</v>
      </c>
      <c r="I92">
        <v>1.1656031975699999</v>
      </c>
      <c r="J92">
        <v>1.200198726265</v>
      </c>
      <c r="K92">
        <v>1.2161658933550001</v>
      </c>
      <c r="L92">
        <v>1.2161658933550001</v>
      </c>
      <c r="M92">
        <v>1.1576196140249999</v>
      </c>
    </row>
    <row r="93" spans="1:13" x14ac:dyDescent="0.2">
      <c r="A93" s="1" t="s">
        <v>34</v>
      </c>
      <c r="B93">
        <v>-0.22737557276000001</v>
      </c>
      <c r="C93">
        <v>-5.6843893190000001E-2</v>
      </c>
      <c r="D93">
        <v>0.22737557276000001</v>
      </c>
      <c r="E93">
        <v>-1.6768948491049998</v>
      </c>
      <c r="F93">
        <v>-1.81900458208</v>
      </c>
      <c r="G93">
        <v>-2.1600679412199999</v>
      </c>
      <c r="H93">
        <v>-2.4158654605750001</v>
      </c>
      <c r="I93">
        <v>-1.9326923684600001</v>
      </c>
      <c r="J93">
        <v>-2.04638015484</v>
      </c>
      <c r="K93">
        <v>-1.8758484752700002</v>
      </c>
      <c r="L93">
        <v>-5.5707015326200002</v>
      </c>
      <c r="M93">
        <v>-5.854920998569999</v>
      </c>
    </row>
    <row r="94" spans="1:13" x14ac:dyDescent="0.2">
      <c r="A94" s="1" t="s">
        <v>35</v>
      </c>
      <c r="B94">
        <v>1.3436627399999997E-3</v>
      </c>
      <c r="C94">
        <v>2.1274660049999997E-3</v>
      </c>
      <c r="D94">
        <v>2.7246494449999995E-3</v>
      </c>
      <c r="E94">
        <v>4.3295799399999998E-3</v>
      </c>
      <c r="F94">
        <v>4.0309882200000001E-3</v>
      </c>
      <c r="G94">
        <v>5.1507071700000002E-3</v>
      </c>
      <c r="H94">
        <v>5.449298889999999E-3</v>
      </c>
      <c r="I94">
        <v>4.8147914849999999E-3</v>
      </c>
      <c r="J94">
        <v>5.3746509599999987E-3</v>
      </c>
      <c r="K94">
        <v>5.6359187149999986E-3</v>
      </c>
      <c r="L94">
        <v>5.1133832049999996E-3</v>
      </c>
      <c r="M94">
        <v>5.1507071700000002E-3</v>
      </c>
    </row>
    <row r="95" spans="1:13" x14ac:dyDescent="0.2">
      <c r="A95" s="1" t="s">
        <v>36</v>
      </c>
      <c r="B95">
        <v>1.1075399999999999E-2</v>
      </c>
      <c r="C95">
        <v>1.5367117499999999E-2</v>
      </c>
      <c r="D95">
        <v>1.6751542500000001E-2</v>
      </c>
      <c r="E95">
        <v>3.3641527499999997E-2</v>
      </c>
      <c r="F95">
        <v>3.2810872499999998E-2</v>
      </c>
      <c r="G95">
        <v>3.9456112499999994E-2</v>
      </c>
      <c r="H95">
        <v>4.1671192499999996E-2</v>
      </c>
      <c r="I95">
        <v>3.64103775E-2</v>
      </c>
      <c r="J95">
        <v>3.8763900000000004E-2</v>
      </c>
      <c r="K95">
        <v>4.0009882499999996E-2</v>
      </c>
      <c r="L95">
        <v>4.2501847499999995E-2</v>
      </c>
      <c r="M95">
        <v>4.19480775E-2</v>
      </c>
    </row>
    <row r="96" spans="1:13" x14ac:dyDescent="0.2">
      <c r="A96" s="1" t="s">
        <v>37</v>
      </c>
      <c r="B96">
        <v>-4.442342939999999E-3</v>
      </c>
      <c r="C96">
        <v>1.1599451009999999E-2</v>
      </c>
      <c r="D96">
        <v>1.085906052E-2</v>
      </c>
      <c r="E96">
        <v>4.3929835739999999E-2</v>
      </c>
      <c r="F96">
        <v>4.8618975510000002E-2</v>
      </c>
      <c r="G96">
        <v>5.997162969E-2</v>
      </c>
      <c r="H96">
        <v>6.2686394820000005E-2</v>
      </c>
      <c r="I96">
        <v>5.158053747E-2</v>
      </c>
      <c r="J96">
        <v>5.158053747E-2</v>
      </c>
      <c r="K96">
        <v>5.207413113E-2</v>
      </c>
      <c r="L96">
        <v>5.133374064E-2</v>
      </c>
      <c r="M96">
        <v>4.4176632569999999E-2</v>
      </c>
    </row>
    <row r="97" spans="1:25" x14ac:dyDescent="0.2">
      <c r="A97" s="1" t="s">
        <v>38</v>
      </c>
      <c r="B97">
        <v>-7.3147622624999992E-2</v>
      </c>
      <c r="C97">
        <v>-2.8860966749999998E-2</v>
      </c>
      <c r="D97">
        <v>-7.9616459999999993E-3</v>
      </c>
      <c r="E97">
        <v>8.7080503124999986E-2</v>
      </c>
      <c r="F97">
        <v>0.10499420662499999</v>
      </c>
      <c r="G97">
        <v>0.16122333149999998</v>
      </c>
      <c r="H97">
        <v>0.18112744649999998</v>
      </c>
      <c r="I97">
        <v>0.129874350375</v>
      </c>
      <c r="J97">
        <v>0.13136715899999998</v>
      </c>
      <c r="K97">
        <v>0.12738633599999999</v>
      </c>
      <c r="L97">
        <v>0.11992229287499999</v>
      </c>
      <c r="M97">
        <v>0.10797982387499999</v>
      </c>
    </row>
    <row r="98" spans="1:25" x14ac:dyDescent="0.2">
      <c r="A98" s="1" t="s">
        <v>39</v>
      </c>
      <c r="B98">
        <v>6.2539527119999994E-2</v>
      </c>
      <c r="C98">
        <v>7.8301521759999992E-2</v>
      </c>
      <c r="D98">
        <v>8.1860681839999991E-2</v>
      </c>
      <c r="E98">
        <v>0.10702902811999998</v>
      </c>
      <c r="F98">
        <v>0.10448677091999999</v>
      </c>
      <c r="G98">
        <v>0.12253679703999998</v>
      </c>
      <c r="H98">
        <v>0.12507905423999999</v>
      </c>
      <c r="I98">
        <v>0.11668960548</v>
      </c>
      <c r="J98">
        <v>0.11974031411999997</v>
      </c>
      <c r="K98">
        <v>0.12279102275999999</v>
      </c>
      <c r="L98">
        <v>0.12355369991999998</v>
      </c>
      <c r="M98">
        <v>0.12126566843999999</v>
      </c>
    </row>
    <row r="99" spans="1:25" x14ac:dyDescent="0.2">
      <c r="A99" s="1" t="s">
        <v>40</v>
      </c>
      <c r="B99">
        <v>-1.0192140420000001E-2</v>
      </c>
      <c r="C99">
        <v>-7.2580393900000002E-3</v>
      </c>
      <c r="D99">
        <v>-5.8682020600000001E-3</v>
      </c>
      <c r="E99">
        <v>3.2429537700000002E-3</v>
      </c>
      <c r="F99">
        <v>2.47082192E-3</v>
      </c>
      <c r="G99">
        <v>9.88328768E-3</v>
      </c>
      <c r="H99">
        <v>1.189083049E-2</v>
      </c>
      <c r="I99">
        <v>6.0226284299999995E-3</v>
      </c>
      <c r="J99">
        <v>7.2580393900000002E-3</v>
      </c>
      <c r="K99">
        <v>8.8023030899999997E-3</v>
      </c>
      <c r="L99">
        <v>8.3390239799999988E-3</v>
      </c>
      <c r="M99">
        <v>7.2580393900000002E-3</v>
      </c>
    </row>
    <row r="100" spans="1:25" x14ac:dyDescent="0.2">
      <c r="A100" s="1" t="s">
        <v>41</v>
      </c>
      <c r="B100">
        <v>0.27325717691999996</v>
      </c>
      <c r="C100">
        <v>0.28001353568999993</v>
      </c>
      <c r="D100">
        <v>0.26725152467999996</v>
      </c>
      <c r="E100">
        <v>0.30929109035999997</v>
      </c>
      <c r="F100">
        <v>0.29427695976000001</v>
      </c>
      <c r="G100">
        <v>0.30778967729999995</v>
      </c>
      <c r="H100">
        <v>0.30403614465000001</v>
      </c>
      <c r="I100">
        <v>0.30929109035999997</v>
      </c>
      <c r="J100">
        <v>0.30703897076999997</v>
      </c>
      <c r="K100">
        <v>0.30403614465000001</v>
      </c>
      <c r="L100">
        <v>0.33331369931999999</v>
      </c>
      <c r="M100">
        <v>0.32880946013999995</v>
      </c>
    </row>
    <row r="101" spans="1:25" x14ac:dyDescent="0.2">
      <c r="A101" s="1" t="s">
        <v>42</v>
      </c>
      <c r="B101">
        <v>4.2220908450000001E-3</v>
      </c>
      <c r="C101">
        <v>9.3824241000000004E-4</v>
      </c>
      <c r="D101">
        <v>3.1274747000000001E-4</v>
      </c>
      <c r="E101">
        <v>1.4699131089999999E-2</v>
      </c>
      <c r="F101">
        <v>1.6575615910000001E-2</v>
      </c>
      <c r="G101">
        <v>1.9546716874999998E-2</v>
      </c>
      <c r="H101">
        <v>2.1735949165000001E-2</v>
      </c>
      <c r="I101">
        <v>1.688836338E-2</v>
      </c>
      <c r="J101">
        <v>1.7670232054999999E-2</v>
      </c>
      <c r="K101">
        <v>1.6106494704999998E-2</v>
      </c>
      <c r="L101">
        <v>1.9546716874999998E-2</v>
      </c>
      <c r="M101">
        <v>1.9546716874999998E-2</v>
      </c>
    </row>
    <row r="103" spans="1:25" x14ac:dyDescent="0.2">
      <c r="A103" s="1" t="s">
        <v>15</v>
      </c>
    </row>
    <row r="105" spans="1:25" x14ac:dyDescent="0.2">
      <c r="B105" s="1" t="s">
        <v>19</v>
      </c>
      <c r="C105" s="1" t="s">
        <v>20</v>
      </c>
      <c r="D105" s="1" t="s">
        <v>21</v>
      </c>
      <c r="E105" s="1" t="s">
        <v>23</v>
      </c>
      <c r="F105" s="1" t="s">
        <v>22</v>
      </c>
      <c r="G105" s="1" t="s">
        <v>24</v>
      </c>
      <c r="H105" s="1" t="s">
        <v>25</v>
      </c>
      <c r="I105" s="1" t="s">
        <v>26</v>
      </c>
      <c r="J105" s="1" t="s">
        <v>27</v>
      </c>
      <c r="K105" s="1" t="s">
        <v>28</v>
      </c>
      <c r="L105" s="1" t="s">
        <v>29</v>
      </c>
      <c r="M105" s="1" t="s">
        <v>30</v>
      </c>
      <c r="N105" s="1" t="s">
        <v>31</v>
      </c>
      <c r="O105" s="1" t="s">
        <v>32</v>
      </c>
      <c r="P105" s="1" t="s">
        <v>33</v>
      </c>
      <c r="Q105" s="1" t="s">
        <v>34</v>
      </c>
      <c r="R105" s="1" t="s">
        <v>35</v>
      </c>
      <c r="S105" s="1" t="s">
        <v>36</v>
      </c>
      <c r="T105" s="1" t="s">
        <v>37</v>
      </c>
      <c r="U105" s="1" t="s">
        <v>38</v>
      </c>
      <c r="V105" s="1" t="s">
        <v>39</v>
      </c>
      <c r="W105" s="1" t="s">
        <v>40</v>
      </c>
      <c r="X105" s="1" t="s">
        <v>41</v>
      </c>
      <c r="Y105" s="1" t="s">
        <v>42</v>
      </c>
    </row>
    <row r="106" spans="1:25" x14ac:dyDescent="0.2">
      <c r="A106" s="1" t="s">
        <v>0</v>
      </c>
      <c r="B106">
        <v>162.79413264901498</v>
      </c>
      <c r="C106">
        <v>7.5361689621050001</v>
      </c>
      <c r="D106">
        <v>4.6480287945000001</v>
      </c>
      <c r="E106">
        <v>0.10573576860000002</v>
      </c>
      <c r="F106">
        <v>3.5062204799999998E-3</v>
      </c>
      <c r="G106">
        <v>-6.2752552835000003E-2</v>
      </c>
      <c r="H106">
        <v>2.3666501809999997E-2</v>
      </c>
      <c r="I106">
        <v>-2.1125164199999994E-2</v>
      </c>
      <c r="J106">
        <v>-0.21646906106000002</v>
      </c>
      <c r="K106">
        <v>0.83370965072499992</v>
      </c>
      <c r="L106">
        <v>4.3002883349999993E-3</v>
      </c>
      <c r="M106">
        <v>-0.140245540925</v>
      </c>
      <c r="N106">
        <v>-9.8633477600000005E-2</v>
      </c>
      <c r="O106">
        <v>-7.2870322559999992E-2</v>
      </c>
      <c r="P106">
        <v>0.1064477806</v>
      </c>
      <c r="Q106">
        <v>-0.22737557276000001</v>
      </c>
      <c r="R106">
        <v>1.3436627399999997E-3</v>
      </c>
      <c r="S106">
        <v>1.1075399999999999E-2</v>
      </c>
      <c r="T106">
        <v>-4.442342939999999E-3</v>
      </c>
      <c r="U106">
        <v>-7.3147622624999992E-2</v>
      </c>
      <c r="V106">
        <v>6.2539527119999994E-2</v>
      </c>
      <c r="W106">
        <v>-1.0192140420000001E-2</v>
      </c>
      <c r="X106">
        <v>0.27325717691999996</v>
      </c>
      <c r="Y106">
        <v>4.2220908450000001E-3</v>
      </c>
    </row>
    <row r="107" spans="1:25" x14ac:dyDescent="0.2">
      <c r="A107" s="1" t="s">
        <v>1</v>
      </c>
      <c r="B107">
        <v>126.32984100303</v>
      </c>
      <c r="C107">
        <v>8.5668369882899995</v>
      </c>
      <c r="D107">
        <v>4.7899934748749997</v>
      </c>
      <c r="E107">
        <v>0.13519449019999999</v>
      </c>
      <c r="F107">
        <v>8.7655511999999995E-4</v>
      </c>
      <c r="G107">
        <v>-5.3435579924999997E-2</v>
      </c>
      <c r="H107">
        <v>2.7685341739999998E-2</v>
      </c>
      <c r="I107">
        <v>-1.3278674639999998E-2</v>
      </c>
      <c r="J107">
        <v>-0.18912072143999997</v>
      </c>
      <c r="K107">
        <v>1.01671908625</v>
      </c>
      <c r="L107">
        <v>1.1467435560000001E-2</v>
      </c>
      <c r="M107">
        <v>-0.106720710425</v>
      </c>
      <c r="N107">
        <v>-6.1645923499999998E-2</v>
      </c>
      <c r="O107">
        <v>-7.9701915299999995E-2</v>
      </c>
      <c r="P107">
        <v>0.34595528695000005</v>
      </c>
      <c r="Q107">
        <v>-5.6843893190000001E-2</v>
      </c>
      <c r="R107">
        <v>2.1274660049999997E-3</v>
      </c>
      <c r="S107">
        <v>1.5367117499999999E-2</v>
      </c>
      <c r="T107">
        <v>1.1599451009999999E-2</v>
      </c>
      <c r="U107">
        <v>-2.8860966749999998E-2</v>
      </c>
      <c r="V107">
        <v>7.8301521759999992E-2</v>
      </c>
      <c r="W107">
        <v>-7.2580393900000002E-3</v>
      </c>
      <c r="X107">
        <v>0.28001353568999993</v>
      </c>
      <c r="Y107">
        <v>9.3824241000000004E-4</v>
      </c>
    </row>
    <row r="108" spans="1:25" x14ac:dyDescent="0.2">
      <c r="A108" s="1" t="s">
        <v>2</v>
      </c>
      <c r="B108">
        <v>100.42624584468001</v>
      </c>
      <c r="C108">
        <v>9.0868988363650001</v>
      </c>
      <c r="D108">
        <v>4.4219368961249996</v>
      </c>
      <c r="E108">
        <v>0.1404549762</v>
      </c>
      <c r="F108">
        <v>-6.4588272000000002E-4</v>
      </c>
      <c r="G108">
        <v>-5.2613494079999996E-2</v>
      </c>
      <c r="H108">
        <v>2.8131879509999996E-2</v>
      </c>
      <c r="I108">
        <v>-9.8584099599999999E-3</v>
      </c>
      <c r="J108">
        <v>-0.17475125485999998</v>
      </c>
      <c r="K108">
        <v>1.06552160239</v>
      </c>
      <c r="L108">
        <v>1.8156772970000002E-2</v>
      </c>
      <c r="M108">
        <v>-9.3310778225000002E-2</v>
      </c>
      <c r="N108">
        <v>-4.0069850274999999E-2</v>
      </c>
      <c r="O108">
        <v>-7.4767987209999998E-2</v>
      </c>
      <c r="P108">
        <v>0.43111351142999998</v>
      </c>
      <c r="Q108">
        <v>0.22737557276000001</v>
      </c>
      <c r="R108">
        <v>2.7246494449999995E-3</v>
      </c>
      <c r="S108">
        <v>1.6751542500000001E-2</v>
      </c>
      <c r="T108">
        <v>1.085906052E-2</v>
      </c>
      <c r="U108">
        <v>-7.9616459999999993E-3</v>
      </c>
      <c r="V108">
        <v>8.1860681839999991E-2</v>
      </c>
      <c r="W108">
        <v>-5.8682020600000001E-3</v>
      </c>
      <c r="X108">
        <v>0.26725152467999996</v>
      </c>
      <c r="Y108">
        <v>3.1274747000000001E-4</v>
      </c>
    </row>
    <row r="109" spans="1:25" x14ac:dyDescent="0.2">
      <c r="A109" s="1" t="s">
        <v>3</v>
      </c>
      <c r="B109">
        <v>110.78768390802001</v>
      </c>
      <c r="C109">
        <v>8.1413318398649999</v>
      </c>
      <c r="D109">
        <v>4.4745164073749999</v>
      </c>
      <c r="E109">
        <v>0.30089979919999993</v>
      </c>
      <c r="F109">
        <v>-1.074933384E-2</v>
      </c>
      <c r="G109">
        <v>-6.905521097999999E-2</v>
      </c>
      <c r="H109">
        <v>3.2820526094999997E-2</v>
      </c>
      <c r="I109">
        <v>-1.4687018919999998E-2</v>
      </c>
      <c r="J109">
        <v>-9.3633298359999992E-2</v>
      </c>
      <c r="K109">
        <v>1.4274735970949999</v>
      </c>
      <c r="L109">
        <v>6.7371183914999994E-2</v>
      </c>
      <c r="M109">
        <v>1.6762415249999999E-2</v>
      </c>
      <c r="N109">
        <v>9.3085344484999999E-2</v>
      </c>
      <c r="O109">
        <v>-7.894284943999999E-2</v>
      </c>
      <c r="P109">
        <v>0.97133599797499992</v>
      </c>
      <c r="Q109">
        <v>-1.6768948491049998</v>
      </c>
      <c r="R109">
        <v>4.3295799399999998E-3</v>
      </c>
      <c r="S109">
        <v>3.3641527499999997E-2</v>
      </c>
      <c r="T109">
        <v>4.3929835739999999E-2</v>
      </c>
      <c r="U109">
        <v>8.7080503124999986E-2</v>
      </c>
      <c r="V109">
        <v>0.10702902811999998</v>
      </c>
      <c r="W109">
        <v>3.2429537700000002E-3</v>
      </c>
      <c r="X109">
        <v>0.30929109035999997</v>
      </c>
      <c r="Y109">
        <v>1.4699131089999999E-2</v>
      </c>
    </row>
    <row r="110" spans="1:25" x14ac:dyDescent="0.2">
      <c r="A110" s="1" t="s">
        <v>4</v>
      </c>
      <c r="B110">
        <v>109.79139178654502</v>
      </c>
      <c r="C110">
        <v>7.7158266914399993</v>
      </c>
      <c r="D110">
        <v>4.4534846028750001</v>
      </c>
      <c r="E110">
        <v>0.31352496559999998</v>
      </c>
      <c r="F110">
        <v>-1.282538544E-2</v>
      </c>
      <c r="G110">
        <v>-6.8781182364999999E-2</v>
      </c>
      <c r="H110">
        <v>6.2068750029999994E-2</v>
      </c>
      <c r="I110">
        <v>3.8226487599999997E-3</v>
      </c>
      <c r="J110">
        <v>-8.8070924199999998E-2</v>
      </c>
      <c r="K110">
        <v>1.37460420461</v>
      </c>
      <c r="L110">
        <v>7.2627091880000008E-2</v>
      </c>
      <c r="M110">
        <v>2.1232392649999998E-2</v>
      </c>
      <c r="N110">
        <v>8.0139700549999998E-2</v>
      </c>
      <c r="O110">
        <v>-7.2111256699999987E-2</v>
      </c>
      <c r="P110">
        <v>1.0085927211850001</v>
      </c>
      <c r="Q110">
        <v>-1.81900458208</v>
      </c>
      <c r="R110">
        <v>4.0309882200000001E-3</v>
      </c>
      <c r="S110">
        <v>3.2810872499999998E-2</v>
      </c>
      <c r="T110">
        <v>4.8618975510000002E-2</v>
      </c>
      <c r="U110">
        <v>0.10499420662499999</v>
      </c>
      <c r="V110">
        <v>0.10448677091999999</v>
      </c>
      <c r="W110">
        <v>2.47082192E-3</v>
      </c>
      <c r="X110">
        <v>0.29427695976000001</v>
      </c>
      <c r="Y110">
        <v>1.6575615910000001E-2</v>
      </c>
    </row>
    <row r="111" spans="1:25" x14ac:dyDescent="0.2">
      <c r="A111" s="1" t="s">
        <v>5</v>
      </c>
      <c r="B111">
        <v>71.733032746199996</v>
      </c>
      <c r="C111">
        <v>7.5172576221749994</v>
      </c>
      <c r="D111">
        <v>3.7121134942499996</v>
      </c>
      <c r="E111">
        <v>0.37875499199999996</v>
      </c>
      <c r="F111">
        <v>-1.711589208E-2</v>
      </c>
      <c r="G111">
        <v>-7.3713697435000003E-2</v>
      </c>
      <c r="H111">
        <v>5.6933565674999992E-2</v>
      </c>
      <c r="I111">
        <v>3.8226487599999997E-3</v>
      </c>
      <c r="J111">
        <v>2.4567152539999998E-2</v>
      </c>
      <c r="K111">
        <v>1.8504287369750001</v>
      </c>
      <c r="L111">
        <v>0.12470836171499999</v>
      </c>
      <c r="M111">
        <v>0.14471551832500001</v>
      </c>
      <c r="N111">
        <v>0.17569088197499999</v>
      </c>
      <c r="O111">
        <v>-7.1352190839999996E-2</v>
      </c>
      <c r="P111">
        <v>1.3146300904099999</v>
      </c>
      <c r="Q111">
        <v>-2.1600679412199999</v>
      </c>
      <c r="R111">
        <v>5.1507071700000002E-3</v>
      </c>
      <c r="S111">
        <v>3.9456112499999994E-2</v>
      </c>
      <c r="T111">
        <v>5.997162969E-2</v>
      </c>
      <c r="U111">
        <v>0.16122333149999998</v>
      </c>
      <c r="V111">
        <v>0.12253679703999998</v>
      </c>
      <c r="W111">
        <v>9.88328768E-3</v>
      </c>
      <c r="X111">
        <v>0.30778967729999995</v>
      </c>
      <c r="Y111">
        <v>1.9546716874999998E-2</v>
      </c>
    </row>
    <row r="112" spans="1:25" x14ac:dyDescent="0.2">
      <c r="A112" s="1" t="s">
        <v>6</v>
      </c>
      <c r="B112">
        <v>62.168628380039998</v>
      </c>
      <c r="C112">
        <v>7.1673978334699999</v>
      </c>
      <c r="D112">
        <v>3.41766823125</v>
      </c>
      <c r="E112">
        <v>0.40347927619999996</v>
      </c>
      <c r="F112">
        <v>-1.8961271280000001E-2</v>
      </c>
      <c r="G112">
        <v>-8.2482613114999992E-2</v>
      </c>
      <c r="H112">
        <v>5.6040490134999989E-2</v>
      </c>
      <c r="I112">
        <v>3.4202646799999996E-3</v>
      </c>
      <c r="J112">
        <v>5.6087272779999996E-2</v>
      </c>
      <c r="K112">
        <v>1.8910975004249999</v>
      </c>
      <c r="L112">
        <v>0.139042656165</v>
      </c>
      <c r="M112">
        <v>0.179357843175</v>
      </c>
      <c r="N112">
        <v>0.20836322143</v>
      </c>
      <c r="O112">
        <v>-6.831592739999999E-2</v>
      </c>
      <c r="P112">
        <v>1.402449509405</v>
      </c>
      <c r="Q112">
        <v>-2.4158654605750001</v>
      </c>
      <c r="R112">
        <v>5.449298889999999E-3</v>
      </c>
      <c r="S112">
        <v>4.1671192499999996E-2</v>
      </c>
      <c r="T112">
        <v>6.2686394820000005E-2</v>
      </c>
      <c r="U112">
        <v>0.18112744649999998</v>
      </c>
      <c r="V112">
        <v>0.12507905423999999</v>
      </c>
      <c r="W112">
        <v>1.189083049E-2</v>
      </c>
      <c r="X112">
        <v>0.30403614465000001</v>
      </c>
      <c r="Y112">
        <v>2.1735949165000001E-2</v>
      </c>
    </row>
    <row r="113" spans="1:25" x14ac:dyDescent="0.2">
      <c r="A113" s="1" t="s">
        <v>7</v>
      </c>
      <c r="B113">
        <v>80.101886566590011</v>
      </c>
      <c r="C113">
        <v>8.0278638002849991</v>
      </c>
      <c r="D113">
        <v>3.9644951482500002</v>
      </c>
      <c r="E113">
        <v>0.3424576386</v>
      </c>
      <c r="F113">
        <v>-1.397874744E-2</v>
      </c>
      <c r="G113">
        <v>-7.6179954970000005E-2</v>
      </c>
      <c r="H113">
        <v>5.6040490134999989E-2</v>
      </c>
      <c r="I113">
        <v>1.0059601999999998E-3</v>
      </c>
      <c r="J113">
        <v>-2.3640090179999997E-2</v>
      </c>
      <c r="K113">
        <v>1.75689058104</v>
      </c>
      <c r="L113">
        <v>0.11228530652499999</v>
      </c>
      <c r="M113">
        <v>9.4428272575E-2</v>
      </c>
      <c r="N113">
        <v>0.13623749093499998</v>
      </c>
      <c r="O113">
        <v>-7.3629388419999997E-2</v>
      </c>
      <c r="P113">
        <v>1.1656031975699999</v>
      </c>
      <c r="Q113">
        <v>-1.9326923684600001</v>
      </c>
      <c r="R113">
        <v>4.8147914849999999E-3</v>
      </c>
      <c r="S113">
        <v>3.64103775E-2</v>
      </c>
      <c r="T113">
        <v>5.158053747E-2</v>
      </c>
      <c r="U113">
        <v>0.129874350375</v>
      </c>
      <c r="V113">
        <v>0.11668960548</v>
      </c>
      <c r="W113">
        <v>6.0226284299999995E-3</v>
      </c>
      <c r="X113">
        <v>0.30929109035999997</v>
      </c>
      <c r="Y113">
        <v>1.688836338E-2</v>
      </c>
    </row>
    <row r="114" spans="1:25" x14ac:dyDescent="0.2">
      <c r="A114" s="1" t="s">
        <v>8</v>
      </c>
      <c r="B114">
        <v>72.72932486767499</v>
      </c>
      <c r="C114">
        <v>8.0845978200749986</v>
      </c>
      <c r="D114">
        <v>3.7962407122499999</v>
      </c>
      <c r="E114">
        <v>0.34982231899999999</v>
      </c>
      <c r="F114">
        <v>-1.3794209519999998E-2</v>
      </c>
      <c r="G114">
        <v>-8.5222899264999999E-2</v>
      </c>
      <c r="H114">
        <v>4.7333003619999994E-2</v>
      </c>
      <c r="I114">
        <v>-4.0238407999999993E-3</v>
      </c>
      <c r="J114">
        <v>-1.5296528939999998E-2</v>
      </c>
      <c r="K114">
        <v>1.8260274789050002</v>
      </c>
      <c r="L114">
        <v>0.11371873597</v>
      </c>
      <c r="M114">
        <v>0.10225073302499998</v>
      </c>
      <c r="N114">
        <v>0.18370485203</v>
      </c>
      <c r="O114">
        <v>-7.6665651860000003E-2</v>
      </c>
      <c r="P114">
        <v>1.200198726265</v>
      </c>
      <c r="Q114">
        <v>-2.04638015484</v>
      </c>
      <c r="R114">
        <v>5.3746509599999987E-3</v>
      </c>
      <c r="S114">
        <v>3.8763900000000004E-2</v>
      </c>
      <c r="T114">
        <v>5.158053747E-2</v>
      </c>
      <c r="U114">
        <v>0.13136715899999998</v>
      </c>
      <c r="V114">
        <v>0.11974031411999997</v>
      </c>
      <c r="W114">
        <v>7.2580393900000002E-3</v>
      </c>
      <c r="X114">
        <v>0.30703897076999997</v>
      </c>
      <c r="Y114">
        <v>1.7670232054999999E-2</v>
      </c>
    </row>
    <row r="115" spans="1:25" x14ac:dyDescent="0.2">
      <c r="A115" s="1" t="s">
        <v>9</v>
      </c>
      <c r="B115">
        <v>69.740448503249993</v>
      </c>
      <c r="C115">
        <v>8.2642555494099987</v>
      </c>
      <c r="D115">
        <v>3.7594350543749999</v>
      </c>
      <c r="E115">
        <v>0.33877529839999998</v>
      </c>
      <c r="F115">
        <v>-1.2686982000000001E-2</v>
      </c>
      <c r="G115">
        <v>-8.1934555884999996E-2</v>
      </c>
      <c r="H115">
        <v>4.6439928079999991E-2</v>
      </c>
      <c r="I115">
        <v>-3.21907264E-3</v>
      </c>
      <c r="J115">
        <v>-1.9468309559999997E-2</v>
      </c>
      <c r="K115">
        <v>1.8097599735250001</v>
      </c>
      <c r="L115">
        <v>0.11180749671</v>
      </c>
      <c r="M115">
        <v>9.6104514099999996E-2</v>
      </c>
      <c r="N115">
        <v>0.17754025967999998</v>
      </c>
      <c r="O115">
        <v>-7.6286118929999994E-2</v>
      </c>
      <c r="P115">
        <v>1.2161658933550001</v>
      </c>
      <c r="Q115">
        <v>-1.8758484752700002</v>
      </c>
      <c r="R115">
        <v>5.6359187149999986E-3</v>
      </c>
      <c r="S115">
        <v>4.0009882499999996E-2</v>
      </c>
      <c r="T115">
        <v>5.207413113E-2</v>
      </c>
      <c r="U115">
        <v>0.12738633599999999</v>
      </c>
      <c r="V115">
        <v>0.12279102275999999</v>
      </c>
      <c r="W115">
        <v>8.8023030899999997E-3</v>
      </c>
      <c r="X115">
        <v>0.30403614465000001</v>
      </c>
      <c r="Y115">
        <v>1.6106494704999998E-2</v>
      </c>
    </row>
    <row r="116" spans="1:25" x14ac:dyDescent="0.2">
      <c r="A116" s="1" t="s">
        <v>10</v>
      </c>
      <c r="B116">
        <v>80.500403415180003</v>
      </c>
      <c r="C116">
        <v>7.8009277211249985</v>
      </c>
      <c r="D116">
        <v>3.8225304678749996</v>
      </c>
      <c r="E116">
        <v>0.35771304800000003</v>
      </c>
      <c r="F116">
        <v>-1.2410175120000002E-2</v>
      </c>
      <c r="G116">
        <v>-0.11152964630499998</v>
      </c>
      <c r="H116">
        <v>2.8578417279999994E-2</v>
      </c>
      <c r="I116">
        <v>-1.9515627879999997E-2</v>
      </c>
      <c r="J116">
        <v>-1.9468309559999997E-2</v>
      </c>
      <c r="K116">
        <v>1.8910975004249999</v>
      </c>
      <c r="L116">
        <v>0.117063404675</v>
      </c>
      <c r="M116">
        <v>0.10169198585</v>
      </c>
      <c r="N116">
        <v>0.19788341443500002</v>
      </c>
      <c r="O116">
        <v>-8.3117711669999997E-2</v>
      </c>
      <c r="P116">
        <v>1.2161658933550001</v>
      </c>
      <c r="Q116">
        <v>-5.5707015326200002</v>
      </c>
      <c r="R116">
        <v>5.1133832049999996E-3</v>
      </c>
      <c r="S116">
        <v>4.2501847499999995E-2</v>
      </c>
      <c r="T116">
        <v>5.133374064E-2</v>
      </c>
      <c r="U116">
        <v>0.11992229287499999</v>
      </c>
      <c r="V116">
        <v>0.12355369991999998</v>
      </c>
      <c r="W116">
        <v>8.3390239799999988E-3</v>
      </c>
      <c r="X116">
        <v>0.33331369931999999</v>
      </c>
      <c r="Y116">
        <v>1.9546716874999998E-2</v>
      </c>
    </row>
    <row r="117" spans="1:25" x14ac:dyDescent="0.2">
      <c r="A117" s="1" t="s">
        <v>11</v>
      </c>
      <c r="B117">
        <v>79.504111293705009</v>
      </c>
      <c r="C117">
        <v>7.9238514306700001</v>
      </c>
      <c r="D117">
        <v>3.6910816897499998</v>
      </c>
      <c r="E117">
        <v>0.34613997880000003</v>
      </c>
      <c r="F117">
        <v>-1.1395216559999999E-2</v>
      </c>
      <c r="G117">
        <v>-0.12386093397999999</v>
      </c>
      <c r="H117">
        <v>1.7638241914999998E-2</v>
      </c>
      <c r="I117">
        <v>-2.575258112E-2</v>
      </c>
      <c r="J117">
        <v>-3.1056589059999997E-2</v>
      </c>
      <c r="K117">
        <v>1.8870306240800001</v>
      </c>
      <c r="L117">
        <v>0.11371873597</v>
      </c>
      <c r="M117">
        <v>8.9399548000000009E-2</v>
      </c>
      <c r="N117">
        <v>0.20528092525500002</v>
      </c>
      <c r="O117">
        <v>-8.3117711669999997E-2</v>
      </c>
      <c r="P117">
        <v>1.1576196140249999</v>
      </c>
      <c r="Q117">
        <v>-5.854920998569999</v>
      </c>
      <c r="R117">
        <v>5.1507071700000002E-3</v>
      </c>
      <c r="S117">
        <v>4.19480775E-2</v>
      </c>
      <c r="T117">
        <v>4.4176632569999999E-2</v>
      </c>
      <c r="U117">
        <v>0.10797982387499999</v>
      </c>
      <c r="V117">
        <v>0.12126566843999999</v>
      </c>
      <c r="W117">
        <v>7.2580393900000002E-3</v>
      </c>
      <c r="X117">
        <v>0.32880946013999995</v>
      </c>
      <c r="Y117">
        <v>1.9546716874999998E-2</v>
      </c>
    </row>
    <row r="119" spans="1:25" x14ac:dyDescent="0.2">
      <c r="A119" s="18" t="s">
        <v>59</v>
      </c>
    </row>
    <row r="121" spans="1:25" x14ac:dyDescent="0.2">
      <c r="B121" s="1" t="s">
        <v>0</v>
      </c>
      <c r="C121" s="1" t="s">
        <v>1</v>
      </c>
      <c r="D121" s="1" t="s">
        <v>2</v>
      </c>
      <c r="E121" s="1" t="s">
        <v>3</v>
      </c>
      <c r="F121" s="1" t="s">
        <v>4</v>
      </c>
      <c r="G121" s="1" t="s">
        <v>5</v>
      </c>
      <c r="H121" s="1" t="s">
        <v>6</v>
      </c>
      <c r="I121" s="1" t="s">
        <v>7</v>
      </c>
      <c r="J121" s="1" t="s">
        <v>8</v>
      </c>
      <c r="K121" s="1" t="s">
        <v>9</v>
      </c>
      <c r="L121" s="1" t="s">
        <v>10</v>
      </c>
      <c r="M121" s="1" t="s">
        <v>11</v>
      </c>
    </row>
    <row r="122" spans="1:25" x14ac:dyDescent="0.2">
      <c r="A122" s="1" t="s">
        <v>19</v>
      </c>
      <c r="B122" s="19">
        <v>5.1908081293542116E-2</v>
      </c>
      <c r="C122" s="19">
        <v>3.7802579956397978E-2</v>
      </c>
      <c r="D122" s="19">
        <v>2.9800838063350578E-2</v>
      </c>
      <c r="E122" s="19">
        <v>3.12551606986863E-2</v>
      </c>
      <c r="F122" s="19">
        <v>3.1655030000392999E-2</v>
      </c>
      <c r="G122" s="19">
        <v>2.0477909499211983E-2</v>
      </c>
      <c r="H122" s="19">
        <v>1.7867782694117009E-2</v>
      </c>
      <c r="I122" s="19">
        <v>2.2504589279489014E-2</v>
      </c>
      <c r="J122" s="19">
        <v>2.0167019997759605E-2</v>
      </c>
      <c r="K122" s="19">
        <v>1.9355267871006856E-2</v>
      </c>
      <c r="L122" s="19">
        <v>2.1778236173533597E-2</v>
      </c>
      <c r="M122" s="19">
        <v>2.1373797154489532E-2</v>
      </c>
    </row>
    <row r="123" spans="1:25" x14ac:dyDescent="0.2">
      <c r="A123" s="1" t="s">
        <v>20</v>
      </c>
      <c r="B123" s="19">
        <v>0.54721992194410363</v>
      </c>
      <c r="C123" s="19">
        <v>0.58378245595973388</v>
      </c>
      <c r="D123" s="19">
        <v>0.61406166748132274</v>
      </c>
      <c r="E123" s="19">
        <v>0.52304704743728969</v>
      </c>
      <c r="F123" s="19">
        <v>0.5066078887172355</v>
      </c>
      <c r="G123" s="19">
        <v>0.48869838751288813</v>
      </c>
      <c r="H123" s="19">
        <v>0.46911134108666719</v>
      </c>
      <c r="I123" s="19">
        <v>0.51362172753752466</v>
      </c>
      <c r="J123" s="19">
        <v>0.51051162743861944</v>
      </c>
      <c r="K123" s="19">
        <v>0.52231588408725027</v>
      </c>
      <c r="L123" s="19">
        <v>0.48060241133183423</v>
      </c>
      <c r="M123" s="19">
        <v>0.48511361690026844</v>
      </c>
    </row>
    <row r="124" spans="1:25" x14ac:dyDescent="0.2">
      <c r="A124" s="1" t="s">
        <v>21</v>
      </c>
      <c r="B124" s="19">
        <v>0.22432960438405333</v>
      </c>
      <c r="C124" s="19">
        <v>0.2169561500575781</v>
      </c>
      <c r="D124" s="19">
        <v>0.19861650832944028</v>
      </c>
      <c r="E124" s="19">
        <v>0.19107237881659853</v>
      </c>
      <c r="F124" s="19">
        <v>0.19435510246310009</v>
      </c>
      <c r="G124" s="19">
        <v>0.1604017955369085</v>
      </c>
      <c r="H124" s="19">
        <v>0.14867941049262864</v>
      </c>
      <c r="I124" s="19">
        <v>0.16859232110743214</v>
      </c>
      <c r="J124" s="19">
        <v>0.15933363638113152</v>
      </c>
      <c r="K124" s="19">
        <v>0.15792780145103383</v>
      </c>
      <c r="L124" s="19">
        <v>0.15652984485525537</v>
      </c>
      <c r="M124" s="19">
        <v>0.15019909148661337</v>
      </c>
    </row>
    <row r="125" spans="1:25" x14ac:dyDescent="0.2">
      <c r="A125" s="1" t="s">
        <v>23</v>
      </c>
      <c r="B125" s="19">
        <v>4.5974469686011481E-2</v>
      </c>
      <c r="C125" s="19">
        <v>5.5166198459728019E-2</v>
      </c>
      <c r="D125" s="19">
        <v>5.6835142579092647E-2</v>
      </c>
      <c r="E125" s="19">
        <v>0.11575792271942605</v>
      </c>
      <c r="F125" s="19">
        <v>0.1232665217990969</v>
      </c>
      <c r="G125" s="19">
        <v>0.14744273095834001</v>
      </c>
      <c r="H125" s="19">
        <v>0.15813178863630795</v>
      </c>
      <c r="I125" s="19">
        <v>0.13119998279673653</v>
      </c>
      <c r="J125" s="19">
        <v>0.13227514953133793</v>
      </c>
      <c r="K125" s="19">
        <v>0.12821084443048164</v>
      </c>
      <c r="L125" s="19">
        <v>0.13196476908297755</v>
      </c>
      <c r="M125" s="19">
        <v>0.12689439303332822</v>
      </c>
    </row>
    <row r="126" spans="1:25" x14ac:dyDescent="0.2">
      <c r="A126" s="1" t="s">
        <v>22</v>
      </c>
      <c r="B126" s="19">
        <v>3.7604904403173468E-3</v>
      </c>
      <c r="C126" s="19">
        <v>8.8227456836600005E-4</v>
      </c>
      <c r="D126" s="19">
        <v>6.4467963876060029E-4</v>
      </c>
      <c r="E126" s="19">
        <v>1.0200485497617255E-2</v>
      </c>
      <c r="F126" s="19">
        <v>1.2438095976005313E-2</v>
      </c>
      <c r="G126" s="19">
        <v>1.643520045087558E-2</v>
      </c>
      <c r="H126" s="19">
        <v>1.8330565658927933E-2</v>
      </c>
      <c r="I126" s="19">
        <v>1.3210085964186212E-2</v>
      </c>
      <c r="J126" s="19">
        <v>1.2865836555578259E-2</v>
      </c>
      <c r="K126" s="19">
        <v>1.1843547680431055E-2</v>
      </c>
      <c r="L126" s="19">
        <v>1.1293058950728982E-2</v>
      </c>
      <c r="M126" s="19">
        <v>1.0304423944992284E-2</v>
      </c>
    </row>
    <row r="127" spans="1:25" x14ac:dyDescent="0.2">
      <c r="A127" s="1" t="s">
        <v>24</v>
      </c>
      <c r="B127" s="19">
        <v>5.1841767595207401E-2</v>
      </c>
      <c r="C127" s="19">
        <v>4.142840307268008E-2</v>
      </c>
      <c r="D127" s="19">
        <v>4.0451121670404648E-2</v>
      </c>
      <c r="E127" s="19">
        <v>5.0475297141352668E-2</v>
      </c>
      <c r="F127" s="19">
        <v>5.1380254482641975E-2</v>
      </c>
      <c r="G127" s="19">
        <v>5.4521374682821484E-2</v>
      </c>
      <c r="H127" s="19">
        <v>6.142058696450077E-2</v>
      </c>
      <c r="I127" s="19">
        <v>5.5452513083141697E-2</v>
      </c>
      <c r="J127" s="19">
        <v>6.1226671798396158E-2</v>
      </c>
      <c r="K127" s="19">
        <v>5.8916064514045581E-2</v>
      </c>
      <c r="L127" s="19">
        <v>7.8174866126315898E-2</v>
      </c>
      <c r="M127" s="19">
        <v>8.6273739241568212E-2</v>
      </c>
    </row>
    <row r="128" spans="1:25" x14ac:dyDescent="0.2">
      <c r="A128" s="1" t="s">
        <v>25</v>
      </c>
      <c r="B128" s="19">
        <v>2.7440852720430138E-3</v>
      </c>
      <c r="C128" s="19">
        <v>3.0125390555878965E-3</v>
      </c>
      <c r="D128" s="19">
        <v>3.0356192923431734E-3</v>
      </c>
      <c r="E128" s="19">
        <v>3.3669998525904998E-3</v>
      </c>
      <c r="F128" s="19">
        <v>6.5075085075272368E-3</v>
      </c>
      <c r="G128" s="19">
        <v>5.9101991761597748E-3</v>
      </c>
      <c r="H128" s="19">
        <v>5.8569107684630197E-3</v>
      </c>
      <c r="I128" s="19">
        <v>5.7252911604409118E-3</v>
      </c>
      <c r="J128" s="19">
        <v>4.7726934820324094E-3</v>
      </c>
      <c r="K128" s="19">
        <v>4.6867662607423324E-3</v>
      </c>
      <c r="L128" s="19">
        <v>2.811448456202935E-3</v>
      </c>
      <c r="M128" s="19">
        <v>1.7243074201663093E-3</v>
      </c>
    </row>
    <row r="129" spans="1:13" x14ac:dyDescent="0.2">
      <c r="A129" s="1" t="s">
        <v>26</v>
      </c>
      <c r="B129" s="19">
        <v>9.1853327779651162E-4</v>
      </c>
      <c r="C129" s="19">
        <v>5.4183717057457224E-4</v>
      </c>
      <c r="D129" s="19">
        <v>3.9892081493923392E-4</v>
      </c>
      <c r="E129" s="19">
        <v>5.6501825712089351E-4</v>
      </c>
      <c r="F129" s="19">
        <v>1.5029253437699147E-4</v>
      </c>
      <c r="G129" s="19">
        <v>1.4880906775452141E-4</v>
      </c>
      <c r="H129" s="19">
        <v>1.340471750003574E-4</v>
      </c>
      <c r="I129" s="19">
        <v>3.8539645800793536E-5</v>
      </c>
      <c r="J129" s="19">
        <v>1.5214985282579934E-4</v>
      </c>
      <c r="K129" s="19">
        <v>1.2182707045250728E-4</v>
      </c>
      <c r="L129" s="19">
        <v>7.1995565750051084E-4</v>
      </c>
      <c r="M129" s="19">
        <v>9.4408573132551067E-4</v>
      </c>
    </row>
    <row r="130" spans="1:13" x14ac:dyDescent="0.2">
      <c r="A130" s="1" t="s">
        <v>27</v>
      </c>
      <c r="B130" s="19">
        <v>1.8824377819224251E-2</v>
      </c>
      <c r="C130" s="19">
        <v>1.5434166342684253E-2</v>
      </c>
      <c r="D130" s="19">
        <v>1.4142628128320392E-2</v>
      </c>
      <c r="E130" s="19">
        <v>7.2042561306713175E-3</v>
      </c>
      <c r="F130" s="19">
        <v>6.9252516953411704E-3</v>
      </c>
      <c r="G130" s="19">
        <v>1.9127130408185986E-3</v>
      </c>
      <c r="H130" s="19">
        <v>4.39635009161539E-3</v>
      </c>
      <c r="I130" s="19">
        <v>1.8113653049812858E-3</v>
      </c>
      <c r="J130" s="19">
        <v>1.1567876278636971E-3</v>
      </c>
      <c r="K130" s="19">
        <v>1.473571668365546E-3</v>
      </c>
      <c r="L130" s="19">
        <v>1.4364200522656494E-3</v>
      </c>
      <c r="M130" s="19">
        <v>2.2770597213974298E-3</v>
      </c>
    </row>
    <row r="131" spans="1:13" x14ac:dyDescent="0.2">
      <c r="A131" s="1" t="s">
        <v>28</v>
      </c>
      <c r="B131" s="19">
        <v>1.2083378397456735E-2</v>
      </c>
      <c r="C131" s="19">
        <v>1.3829095847246007E-2</v>
      </c>
      <c r="D131" s="19">
        <v>1.4372119766623339E-2</v>
      </c>
      <c r="E131" s="19">
        <v>1.830524965186308E-2</v>
      </c>
      <c r="F131" s="19">
        <v>1.8014799217921124E-2</v>
      </c>
      <c r="G131" s="19">
        <v>2.4011324135312071E-2</v>
      </c>
      <c r="H131" s="19">
        <v>2.470532754034389E-2</v>
      </c>
      <c r="I131" s="19">
        <v>2.2436255663670711E-2</v>
      </c>
      <c r="J131" s="19">
        <v>2.3015308505848545E-2</v>
      </c>
      <c r="K131" s="19">
        <v>2.2830359387474391E-2</v>
      </c>
      <c r="L131" s="19">
        <v>2.3254975494303758E-2</v>
      </c>
      <c r="M131" s="19">
        <v>2.3059419150606185E-2</v>
      </c>
    </row>
    <row r="132" spans="1:13" x14ac:dyDescent="0.2">
      <c r="A132" s="1" t="s">
        <v>29</v>
      </c>
      <c r="B132" s="19">
        <v>9.3489402080426272E-5</v>
      </c>
      <c r="C132" s="19">
        <v>2.3396472185783736E-4</v>
      </c>
      <c r="D132" s="19">
        <v>3.6735714477525419E-4</v>
      </c>
      <c r="E132" s="19">
        <v>1.2959045373049903E-3</v>
      </c>
      <c r="F132" s="19">
        <v>1.4277154910612062E-3</v>
      </c>
      <c r="G132" s="19">
        <v>2.4273398124083469E-3</v>
      </c>
      <c r="H132" s="19">
        <v>2.724683176195633E-3</v>
      </c>
      <c r="I132" s="19">
        <v>2.1508981876753332E-3</v>
      </c>
      <c r="J132" s="19">
        <v>2.1499718554187628E-3</v>
      </c>
      <c r="K132" s="19">
        <v>2.1156993491777258E-3</v>
      </c>
      <c r="L132" s="19">
        <v>2.1593069154697882E-3</v>
      </c>
      <c r="M132" s="19">
        <v>2.0844558359680672E-3</v>
      </c>
    </row>
    <row r="133" spans="1:13" x14ac:dyDescent="0.2">
      <c r="A133" s="1" t="s">
        <v>30</v>
      </c>
      <c r="B133" s="19">
        <v>8.7403950928721594E-3</v>
      </c>
      <c r="C133" s="19">
        <v>6.2418017909222643E-3</v>
      </c>
      <c r="D133" s="19">
        <v>5.4120130570617844E-3</v>
      </c>
      <c r="E133" s="19">
        <v>9.2429929712094922E-4</v>
      </c>
      <c r="F133" s="19">
        <v>1.19651776392001E-3</v>
      </c>
      <c r="G133" s="19">
        <v>8.0747169228707911E-3</v>
      </c>
      <c r="H133" s="19">
        <v>1.0075474863014919E-2</v>
      </c>
      <c r="I133" s="19">
        <v>5.1853272021668232E-3</v>
      </c>
      <c r="J133" s="19">
        <v>5.5417174323149632E-3</v>
      </c>
      <c r="K133" s="19">
        <v>5.2131955062352086E-3</v>
      </c>
      <c r="L133" s="19">
        <v>5.3772118809435653E-3</v>
      </c>
      <c r="M133" s="19">
        <v>4.697569280790413E-3</v>
      </c>
    </row>
    <row r="134" spans="1:13" x14ac:dyDescent="0.2">
      <c r="A134" s="1" t="s">
        <v>31</v>
      </c>
      <c r="B134" s="19">
        <v>2.044249641334819E-2</v>
      </c>
      <c r="C134" s="19">
        <v>1.1990387281697379E-2</v>
      </c>
      <c r="D134" s="19">
        <v>7.7288045669318744E-3</v>
      </c>
      <c r="E134" s="19">
        <v>1.7069661930484786E-2</v>
      </c>
      <c r="F134" s="19">
        <v>1.5018809576092584E-2</v>
      </c>
      <c r="G134" s="19">
        <v>3.260085623136285E-2</v>
      </c>
      <c r="H134" s="19">
        <v>3.892546382846173E-2</v>
      </c>
      <c r="I134" s="19">
        <v>2.4879310476882091E-2</v>
      </c>
      <c r="J134" s="19">
        <v>3.3110531829557928E-2</v>
      </c>
      <c r="K134" s="19">
        <v>3.2027619301764988E-2</v>
      </c>
      <c r="L134" s="19">
        <v>3.4797448317205611E-2</v>
      </c>
      <c r="M134" s="19">
        <v>3.5871872662287176E-2</v>
      </c>
    </row>
    <row r="135" spans="1:13" x14ac:dyDescent="0.2">
      <c r="A135" s="1" t="s">
        <v>32</v>
      </c>
      <c r="B135" s="19">
        <v>0</v>
      </c>
      <c r="C135" s="19">
        <v>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</row>
    <row r="136" spans="1:13" x14ac:dyDescent="0.2">
      <c r="A136" s="1" t="s">
        <v>33</v>
      </c>
      <c r="B136" s="19">
        <v>1.5428018752580385E-3</v>
      </c>
      <c r="C136" s="19">
        <v>4.7055758928839985E-3</v>
      </c>
      <c r="D136" s="19">
        <v>5.8150064770002164E-3</v>
      </c>
      <c r="E136" s="19">
        <v>1.2455955735334439E-2</v>
      </c>
      <c r="F136" s="19">
        <v>1.3218056007590578E-2</v>
      </c>
      <c r="G136" s="19">
        <v>1.7058754324401518E-2</v>
      </c>
      <c r="H136" s="19">
        <v>1.8321622486867247E-2</v>
      </c>
      <c r="I136" s="19">
        <v>1.488525900548225E-2</v>
      </c>
      <c r="J136" s="19">
        <v>1.5127342973984097E-2</v>
      </c>
      <c r="K136" s="19">
        <v>1.5342092225635111E-2</v>
      </c>
      <c r="L136" s="19">
        <v>1.4955288154430202E-2</v>
      </c>
      <c r="M136" s="19">
        <v>1.4146053358185319E-2</v>
      </c>
    </row>
    <row r="137" spans="1:13" x14ac:dyDescent="0.2">
      <c r="A137" s="1" t="s">
        <v>34</v>
      </c>
      <c r="B137" s="19">
        <v>1.1534144753667086E-3</v>
      </c>
      <c r="C137" s="19">
        <v>2.7061051598242645E-4</v>
      </c>
      <c r="D137" s="19">
        <v>1.0734218196360135E-3</v>
      </c>
      <c r="E137" s="19">
        <v>7.5262986442204598E-3</v>
      </c>
      <c r="F137" s="19">
        <v>8.3436023070956704E-3</v>
      </c>
      <c r="G137" s="19">
        <v>9.8102302774984562E-3</v>
      </c>
      <c r="H137" s="19">
        <v>1.1046316553865419E-2</v>
      </c>
      <c r="I137" s="19">
        <v>8.6384622913248492E-3</v>
      </c>
      <c r="J137" s="19">
        <v>9.0274242281644518E-3</v>
      </c>
      <c r="K137" s="19">
        <v>8.2824260762080163E-3</v>
      </c>
      <c r="L137" s="19">
        <v>2.3976175030275063E-2</v>
      </c>
      <c r="M137" s="19">
        <v>2.5041393863407511E-2</v>
      </c>
    </row>
    <row r="138" spans="1:13" x14ac:dyDescent="0.2">
      <c r="A138" s="1" t="s">
        <v>35</v>
      </c>
      <c r="B138" s="19">
        <v>0</v>
      </c>
      <c r="C138" s="19">
        <v>0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</row>
    <row r="139" spans="1:13" x14ac:dyDescent="0.2">
      <c r="A139" s="1" t="s">
        <v>36</v>
      </c>
      <c r="B139" s="19">
        <v>0</v>
      </c>
      <c r="C139" s="19">
        <v>0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</row>
    <row r="140" spans="1:13" x14ac:dyDescent="0.2">
      <c r="A140" s="1" t="s">
        <v>37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</row>
    <row r="141" spans="1:13" x14ac:dyDescent="0.2">
      <c r="A141" s="1" t="s">
        <v>38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</row>
    <row r="142" spans="1:13" x14ac:dyDescent="0.2">
      <c r="A142" s="1" t="s">
        <v>39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</row>
    <row r="143" spans="1:13" x14ac:dyDescent="0.2">
      <c r="A143" s="1" t="s">
        <v>40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</row>
    <row r="144" spans="1:13" x14ac:dyDescent="0.2">
      <c r="A144" s="1" t="s">
        <v>41</v>
      </c>
      <c r="B144" s="19">
        <v>7.9209107527394244E-3</v>
      </c>
      <c r="C144" s="19">
        <v>7.6173135253429988E-3</v>
      </c>
      <c r="D144" s="19">
        <v>7.2095599223858595E-3</v>
      </c>
      <c r="E144" s="19">
        <v>7.9324067858888084E-3</v>
      </c>
      <c r="F144" s="19">
        <v>7.7132607724573936E-3</v>
      </c>
      <c r="G144" s="19">
        <v>7.9878112131299556E-3</v>
      </c>
      <c r="H144" s="19">
        <v>7.943865967771151E-3</v>
      </c>
      <c r="I144" s="19">
        <v>7.8995630720550235E-3</v>
      </c>
      <c r="J144" s="19">
        <v>7.7398579344789874E-3</v>
      </c>
      <c r="K144" s="19">
        <v>7.6709116686028457E-3</v>
      </c>
      <c r="L144" s="19">
        <v>8.1975698321851177E-3</v>
      </c>
      <c r="M144" s="19">
        <v>8.0360700725240087E-3</v>
      </c>
    </row>
    <row r="145" spans="1:13" x14ac:dyDescent="0.2">
      <c r="A145" s="1" t="s">
        <v>42</v>
      </c>
      <c r="B145" s="19">
        <v>5.0178187857907784E-4</v>
      </c>
      <c r="C145" s="19">
        <v>1.0464578073607193E-4</v>
      </c>
      <c r="D145" s="19">
        <v>3.4591247611333375E-5</v>
      </c>
      <c r="E145" s="19">
        <v>1.5456568664296236E-3</v>
      </c>
      <c r="F145" s="19">
        <v>1.7812926881431604E-3</v>
      </c>
      <c r="G145" s="19">
        <v>2.0798471572373496E-3</v>
      </c>
      <c r="H145" s="19">
        <v>2.3284620152516913E-3</v>
      </c>
      <c r="I145" s="19">
        <v>1.7685082210099356E-3</v>
      </c>
      <c r="J145" s="19">
        <v>1.8262725746870977E-3</v>
      </c>
      <c r="K145" s="19">
        <v>1.6661214510923614E-3</v>
      </c>
      <c r="L145" s="19">
        <v>1.9710136885721188E-3</v>
      </c>
      <c r="M145" s="19">
        <v>1.9586511420823099E-3</v>
      </c>
    </row>
    <row r="146" spans="1:13" x14ac:dyDescent="0.2">
      <c r="B146">
        <f>SUM(B122:B145)</f>
        <v>0.99999999999999989</v>
      </c>
      <c r="C146">
        <f t="shared" ref="C146:M146" si="45">SUM(C122:C145)</f>
        <v>0.99999999999999978</v>
      </c>
      <c r="D146">
        <f t="shared" si="45"/>
        <v>0.99999999999999967</v>
      </c>
      <c r="E146">
        <f t="shared" si="45"/>
        <v>1.0000000000000002</v>
      </c>
      <c r="F146">
        <f t="shared" si="45"/>
        <v>1</v>
      </c>
      <c r="G146">
        <f t="shared" si="45"/>
        <v>0.99999999999999989</v>
      </c>
      <c r="H146">
        <f t="shared" si="45"/>
        <v>1</v>
      </c>
      <c r="I146">
        <f t="shared" si="45"/>
        <v>1.0000000000000002</v>
      </c>
      <c r="J146">
        <f t="shared" si="45"/>
        <v>0.99999999999999967</v>
      </c>
      <c r="K146">
        <f t="shared" si="45"/>
        <v>1.0000000000000004</v>
      </c>
      <c r="L146">
        <f t="shared" si="45"/>
        <v>0.99999999999999989</v>
      </c>
      <c r="M146">
        <f t="shared" si="45"/>
        <v>1.0000000000000004</v>
      </c>
    </row>
    <row r="152" spans="1:13" ht="17" x14ac:dyDescent="0.2">
      <c r="A152" s="20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</row>
    <row r="153" spans="1:13" ht="17" x14ac:dyDescent="0.2">
      <c r="A153" s="20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</row>
    <row r="154" spans="1:13" ht="17" x14ac:dyDescent="0.2">
      <c r="A154" s="20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spans="1:13" ht="17" x14ac:dyDescent="0.2">
      <c r="A155" s="20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</row>
    <row r="156" spans="1:13" ht="17" x14ac:dyDescent="0.2">
      <c r="A156" s="20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</row>
    <row r="157" spans="1:13" ht="17" x14ac:dyDescent="0.2">
      <c r="A157" s="20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</row>
    <row r="158" spans="1:13" ht="17" x14ac:dyDescent="0.2">
      <c r="A158" s="20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</row>
    <row r="159" spans="1:13" ht="17" x14ac:dyDescent="0.2">
      <c r="A159" s="20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</row>
    <row r="160" spans="1:13" ht="17" x14ac:dyDescent="0.2">
      <c r="A160" s="20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</row>
    <row r="161" spans="1:13" ht="17" x14ac:dyDescent="0.2">
      <c r="A161" s="20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</row>
    <row r="162" spans="1:13" ht="17" x14ac:dyDescent="0.2">
      <c r="A162" s="20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</row>
    <row r="163" spans="1:13" ht="17" x14ac:dyDescent="0.2">
      <c r="A163" s="20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</row>
    <row r="164" spans="1:13" ht="17" x14ac:dyDescent="0.2">
      <c r="A164" s="20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</row>
    <row r="165" spans="1:13" x14ac:dyDescent="0.2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</row>
    <row r="166" spans="1:13" ht="17" x14ac:dyDescent="0.2">
      <c r="A166" s="20"/>
      <c r="B166" s="19"/>
      <c r="C166" s="19"/>
      <c r="D166" s="19"/>
      <c r="E166" s="19"/>
      <c r="F166" s="19"/>
      <c r="I166" s="19"/>
      <c r="J166" s="19"/>
      <c r="K166" s="19"/>
      <c r="L166" s="19"/>
      <c r="M166" s="19"/>
    </row>
    <row r="167" spans="1:13" ht="17" x14ac:dyDescent="0.2">
      <c r="A167" s="20"/>
      <c r="B167" s="19"/>
      <c r="C167" s="19"/>
      <c r="D167" s="19"/>
      <c r="E167" s="19"/>
      <c r="F167" s="19"/>
      <c r="I167" s="19"/>
      <c r="J167" s="19"/>
      <c r="K167" s="19"/>
      <c r="L167" s="19"/>
      <c r="M167" s="19"/>
    </row>
    <row r="168" spans="1:13" ht="17" x14ac:dyDescent="0.2">
      <c r="A168" s="20"/>
    </row>
    <row r="169" spans="1:13" ht="17" x14ac:dyDescent="0.2">
      <c r="A169" s="20"/>
    </row>
    <row r="170" spans="1:13" ht="17" x14ac:dyDescent="0.2">
      <c r="A170" s="20"/>
    </row>
    <row r="171" spans="1:13" ht="17" x14ac:dyDescent="0.2">
      <c r="A171" s="20"/>
    </row>
    <row r="172" spans="1:13" ht="17" x14ac:dyDescent="0.2">
      <c r="A172" s="20"/>
    </row>
    <row r="173" spans="1:13" ht="17" x14ac:dyDescent="0.2">
      <c r="A173" s="20"/>
    </row>
    <row r="174" spans="1:13" ht="17" x14ac:dyDescent="0.2">
      <c r="A174" s="20"/>
    </row>
    <row r="175" spans="1:13" ht="17" x14ac:dyDescent="0.2">
      <c r="A175" s="20"/>
    </row>
    <row r="176" spans="1:13" ht="17" x14ac:dyDescent="0.2">
      <c r="A176" s="20"/>
    </row>
    <row r="177" spans="1:1" ht="17" x14ac:dyDescent="0.2">
      <c r="A177" s="20"/>
    </row>
    <row r="178" spans="1:1" ht="17" x14ac:dyDescent="0.2">
      <c r="A178" s="20"/>
    </row>
    <row r="180" spans="1:1" ht="17" x14ac:dyDescent="0.2">
      <c r="A180" s="20"/>
    </row>
    <row r="181" spans="1:1" ht="17" x14ac:dyDescent="0.2">
      <c r="A181" s="20"/>
    </row>
    <row r="182" spans="1:1" ht="17" x14ac:dyDescent="0.2">
      <c r="A182" s="20"/>
    </row>
    <row r="183" spans="1:1" ht="17" x14ac:dyDescent="0.2">
      <c r="A183" s="20"/>
    </row>
    <row r="184" spans="1:1" ht="17" x14ac:dyDescent="0.2">
      <c r="A184" s="20"/>
    </row>
    <row r="185" spans="1:1" ht="17" x14ac:dyDescent="0.2">
      <c r="A185" s="20"/>
    </row>
    <row r="186" spans="1:1" ht="17" x14ac:dyDescent="0.2">
      <c r="A186" s="20"/>
    </row>
    <row r="187" spans="1:1" ht="17" x14ac:dyDescent="0.2">
      <c r="A187" s="20"/>
    </row>
    <row r="188" spans="1:1" ht="17" x14ac:dyDescent="0.2">
      <c r="A188" s="20"/>
    </row>
    <row r="189" spans="1:1" ht="17" x14ac:dyDescent="0.2">
      <c r="A189" s="20"/>
    </row>
    <row r="190" spans="1:1" ht="17" x14ac:dyDescent="0.2">
      <c r="A190" s="20"/>
    </row>
    <row r="191" spans="1:1" ht="17" x14ac:dyDescent="0.2">
      <c r="A191" s="20"/>
    </row>
    <row r="192" spans="1:1" ht="17" x14ac:dyDescent="0.2">
      <c r="A192" s="20"/>
    </row>
  </sheetData>
  <conditionalFormatting sqref="B61:Y72">
    <cfRule type="cellIs" dxfId="7" priority="1" operator="lessThan">
      <formula>0.025</formula>
    </cfRule>
    <cfRule type="cellIs" dxfId="6" priority="2" operator="between">
      <formula>0.025</formula>
      <formula>0.075</formula>
    </cfRule>
    <cfRule type="cellIs" dxfId="5" priority="3" operator="greaterThan">
      <formula>0.075</formula>
    </cfRule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A558-C82E-7E44-B7B8-DF498E4C3B73}">
  <dimension ref="A1:Z121"/>
  <sheetViews>
    <sheetView workbookViewId="0">
      <selection activeCell="A5" sqref="A5:Y19"/>
    </sheetView>
  </sheetViews>
  <sheetFormatPr baseColWidth="10" defaultRowHeight="16" x14ac:dyDescent="0.2"/>
  <sheetData>
    <row r="1" spans="1:25" x14ac:dyDescent="0.2">
      <c r="A1" s="1" t="s">
        <v>18</v>
      </c>
    </row>
    <row r="2" spans="1:25" x14ac:dyDescent="0.2">
      <c r="A2" s="1"/>
    </row>
    <row r="3" spans="1:25" x14ac:dyDescent="0.2">
      <c r="A3" t="s">
        <v>47</v>
      </c>
    </row>
    <row r="5" spans="1:25" s="8" customFormat="1" x14ac:dyDescent="0.2">
      <c r="A5" s="7" t="s">
        <v>57</v>
      </c>
    </row>
    <row r="7" spans="1:25" x14ac:dyDescent="0.2">
      <c r="B7" s="1" t="s">
        <v>19</v>
      </c>
      <c r="C7" s="1" t="s">
        <v>20</v>
      </c>
      <c r="D7" s="1" t="s">
        <v>21</v>
      </c>
      <c r="E7" s="1" t="s">
        <v>23</v>
      </c>
      <c r="F7" s="1" t="s">
        <v>22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 s="1" t="s">
        <v>29</v>
      </c>
      <c r="M7" s="1" t="s">
        <v>30</v>
      </c>
      <c r="N7" s="1" t="s">
        <v>31</v>
      </c>
      <c r="O7" s="1" t="s">
        <v>32</v>
      </c>
      <c r="P7" s="1" t="s">
        <v>33</v>
      </c>
      <c r="Q7" s="1" t="s">
        <v>34</v>
      </c>
      <c r="R7" s="1" t="s">
        <v>35</v>
      </c>
      <c r="S7" s="1" t="s">
        <v>36</v>
      </c>
      <c r="T7" s="1" t="s">
        <v>37</v>
      </c>
      <c r="U7" s="1" t="s">
        <v>38</v>
      </c>
      <c r="V7" s="1" t="s">
        <v>39</v>
      </c>
      <c r="W7" s="1" t="s">
        <v>40</v>
      </c>
      <c r="X7" s="1" t="s">
        <v>41</v>
      </c>
      <c r="Y7" s="1" t="s">
        <v>42</v>
      </c>
    </row>
    <row r="8" spans="1:25" x14ac:dyDescent="0.2">
      <c r="A8" s="1" t="s">
        <v>0</v>
      </c>
      <c r="B8" s="16">
        <v>104.67</v>
      </c>
      <c r="C8" s="16">
        <v>3.43</v>
      </c>
      <c r="D8" s="16">
        <v>2.67</v>
      </c>
      <c r="E8" s="16">
        <v>4.4900000000000002E-2</v>
      </c>
      <c r="F8" s="16">
        <v>5.4000000000000003E-3</v>
      </c>
      <c r="G8" s="16">
        <v>-2.5999999999999999E-2</v>
      </c>
      <c r="H8" s="16">
        <v>8.0000000000000002E-3</v>
      </c>
      <c r="I8" s="16">
        <v>-1.2200000000000001E-2</v>
      </c>
      <c r="J8" s="16">
        <v>-0.14019999999999999</v>
      </c>
      <c r="K8" s="16">
        <v>0.48309999999999997</v>
      </c>
      <c r="L8" s="16">
        <v>-4.5400000000000003E-2</v>
      </c>
      <c r="M8" s="16">
        <v>-9.9199999999999997E-2</v>
      </c>
      <c r="N8" s="16">
        <v>-6.9699999999999998E-2</v>
      </c>
      <c r="O8" s="16">
        <v>-6.1899999999999997E-2</v>
      </c>
      <c r="P8" s="16">
        <v>8.4699999999999998E-2</v>
      </c>
      <c r="Q8" s="16">
        <v>-0.56830000000000003</v>
      </c>
      <c r="R8" s="16">
        <v>2.0999999999999999E-3</v>
      </c>
      <c r="S8" s="16">
        <v>1.41E-2</v>
      </c>
      <c r="T8" s="16">
        <v>1.78E-2</v>
      </c>
      <c r="U8" s="16">
        <v>-5.5399999999999998E-2</v>
      </c>
      <c r="V8" s="16">
        <v>2.3599999999999999E-2</v>
      </c>
      <c r="W8" s="16">
        <v>-2.5000000000000001E-3</v>
      </c>
      <c r="X8" s="16">
        <v>0.12720000000000001</v>
      </c>
      <c r="Y8" s="16">
        <v>3.0700000000000002E-2</v>
      </c>
    </row>
    <row r="9" spans="1:25" x14ac:dyDescent="0.2">
      <c r="A9" s="1" t="s">
        <v>1</v>
      </c>
      <c r="B9" s="16">
        <v>91.245000000000005</v>
      </c>
      <c r="C9" s="16">
        <v>3.8690000000000002</v>
      </c>
      <c r="D9" s="16">
        <v>2.8490000000000002</v>
      </c>
      <c r="E9" s="16">
        <v>4.7E-2</v>
      </c>
      <c r="F9" s="16">
        <v>5.0000000000000001E-3</v>
      </c>
      <c r="G9" s="16">
        <v>-2.3E-2</v>
      </c>
      <c r="H9" s="16">
        <v>5.0000000000000001E-3</v>
      </c>
      <c r="I9" s="16">
        <v>-1.2999999999999999E-2</v>
      </c>
      <c r="J9" s="16">
        <v>-0.13</v>
      </c>
      <c r="K9" s="16">
        <v>0.54900000000000004</v>
      </c>
      <c r="L9" s="16">
        <v>-4.5999999999999999E-2</v>
      </c>
      <c r="M9" s="16">
        <v>-8.5999999999999993E-2</v>
      </c>
      <c r="N9" s="16">
        <v>-6.6000000000000003E-2</v>
      </c>
      <c r="O9" s="16">
        <v>-6.4000000000000001E-2</v>
      </c>
      <c r="P9" s="16">
        <v>0.153</v>
      </c>
      <c r="Q9" s="16">
        <v>-0.52100000000000002</v>
      </c>
      <c r="R9" s="16">
        <v>3.0000000000000001E-3</v>
      </c>
      <c r="S9" s="16">
        <v>1.6E-2</v>
      </c>
      <c r="T9" s="16">
        <v>2.5000000000000001E-2</v>
      </c>
      <c r="U9" s="16">
        <v>-5.1999999999999998E-2</v>
      </c>
      <c r="V9" s="16">
        <v>2.9000000000000001E-2</v>
      </c>
      <c r="W9" s="16">
        <v>-3.0000000000000001E-3</v>
      </c>
      <c r="X9" s="16">
        <v>0.13500000000000001</v>
      </c>
      <c r="Y9" s="16">
        <v>2.9000000000000001E-2</v>
      </c>
    </row>
    <row r="10" spans="1:25" x14ac:dyDescent="0.2">
      <c r="A10" s="1" t="s">
        <v>2</v>
      </c>
      <c r="B10" s="16">
        <v>78.096999999999994</v>
      </c>
      <c r="C10" s="16">
        <v>4.2469999999999999</v>
      </c>
      <c r="D10" s="16">
        <v>2.6480000000000001</v>
      </c>
      <c r="E10" s="16">
        <v>4.3999999999999997E-2</v>
      </c>
      <c r="F10" s="16">
        <v>4.0000000000000001E-3</v>
      </c>
      <c r="G10" s="16">
        <v>-2.1999999999999999E-2</v>
      </c>
      <c r="H10" s="16">
        <v>5.0000000000000001E-3</v>
      </c>
      <c r="I10" s="16">
        <v>-1.0999999999999999E-2</v>
      </c>
      <c r="J10" s="16">
        <v>-0.122</v>
      </c>
      <c r="K10" s="16">
        <v>0.59599999999999997</v>
      </c>
      <c r="L10" s="16">
        <v>-3.9E-2</v>
      </c>
      <c r="M10" s="16">
        <v>-7.8E-2</v>
      </c>
      <c r="N10" s="16">
        <v>-0.06</v>
      </c>
      <c r="O10" s="16">
        <v>-6.0999999999999999E-2</v>
      </c>
      <c r="P10" s="16">
        <v>0.2</v>
      </c>
      <c r="Q10" s="16">
        <v>-0.59699999999999998</v>
      </c>
      <c r="R10" s="16">
        <v>3.0000000000000001E-3</v>
      </c>
      <c r="S10" s="16">
        <v>1.7000000000000001E-2</v>
      </c>
      <c r="T10" s="16">
        <v>2.5999999999999999E-2</v>
      </c>
      <c r="U10" s="16">
        <v>-4.5999999999999999E-2</v>
      </c>
      <c r="V10" s="16">
        <v>3.1E-2</v>
      </c>
      <c r="W10" s="16">
        <v>-2E-3</v>
      </c>
      <c r="X10" s="16">
        <v>0.124</v>
      </c>
      <c r="Y10" s="16">
        <v>2.8000000000000001E-2</v>
      </c>
    </row>
    <row r="11" spans="1:25" x14ac:dyDescent="0.2">
      <c r="A11" s="1" t="s">
        <v>3</v>
      </c>
      <c r="B11" s="16">
        <v>71.078999999999994</v>
      </c>
      <c r="C11" s="16">
        <v>2.996</v>
      </c>
      <c r="D11" s="16">
        <v>2.222</v>
      </c>
      <c r="E11" s="16">
        <v>0.183</v>
      </c>
      <c r="F11" s="16">
        <v>-5.0000000000000001E-3</v>
      </c>
      <c r="G11" s="16">
        <v>-2.8000000000000001E-2</v>
      </c>
      <c r="H11" s="16">
        <v>4.0000000000000001E-3</v>
      </c>
      <c r="I11" s="16">
        <v>-0.01</v>
      </c>
      <c r="J11" s="16">
        <v>-8.0000000000000002E-3</v>
      </c>
      <c r="K11" s="16">
        <v>0.81499999999999995</v>
      </c>
      <c r="L11" s="16">
        <v>1.4E-2</v>
      </c>
      <c r="M11" s="16">
        <v>5.6000000000000001E-2</v>
      </c>
      <c r="N11" s="16">
        <v>5.8000000000000003E-2</v>
      </c>
      <c r="O11" s="16">
        <v>-5.8000000000000003E-2</v>
      </c>
      <c r="P11" s="16">
        <v>0.64100000000000001</v>
      </c>
      <c r="Q11" s="16">
        <v>-1.0529999999999999</v>
      </c>
      <c r="R11" s="16">
        <v>4.0000000000000001E-3</v>
      </c>
      <c r="S11" s="16">
        <v>2.8000000000000001E-2</v>
      </c>
      <c r="T11" s="16">
        <v>3.4000000000000002E-2</v>
      </c>
      <c r="U11" s="16">
        <v>0.03</v>
      </c>
      <c r="V11" s="16">
        <v>4.2999999999999997E-2</v>
      </c>
      <c r="W11" s="16">
        <v>4.0000000000000001E-3</v>
      </c>
      <c r="X11" s="16">
        <v>0.14799999999999999</v>
      </c>
      <c r="Y11" s="16">
        <v>4.2999999999999997E-2</v>
      </c>
    </row>
    <row r="12" spans="1:25" x14ac:dyDescent="0.2">
      <c r="A12" s="1" t="s">
        <v>4</v>
      </c>
      <c r="B12" s="16">
        <v>71.155000000000001</v>
      </c>
      <c r="C12" s="16">
        <v>2.819</v>
      </c>
      <c r="D12" s="16">
        <v>2.218</v>
      </c>
      <c r="E12" s="16">
        <v>0.189</v>
      </c>
      <c r="F12" s="16">
        <v>-6.0000000000000001E-3</v>
      </c>
      <c r="G12" s="16">
        <v>-3.3000000000000002E-2</v>
      </c>
      <c r="H12" s="16">
        <v>2.4E-2</v>
      </c>
      <c r="I12" s="16">
        <v>5.0000000000000001E-3</v>
      </c>
      <c r="J12" s="16">
        <v>-1.7999999999999999E-2</v>
      </c>
      <c r="K12" s="16">
        <v>0.79500000000000004</v>
      </c>
      <c r="L12" s="16">
        <v>1.6E-2</v>
      </c>
      <c r="M12" s="16">
        <v>4.5999999999999999E-2</v>
      </c>
      <c r="N12" s="16">
        <v>4.7E-2</v>
      </c>
      <c r="O12" s="16">
        <v>-5.5E-2</v>
      </c>
      <c r="P12" s="16">
        <v>0.67600000000000005</v>
      </c>
      <c r="Q12" s="16">
        <v>-1.2989999999999999</v>
      </c>
      <c r="R12" s="16">
        <v>4.0000000000000001E-3</v>
      </c>
      <c r="S12" s="16">
        <v>2.9000000000000001E-2</v>
      </c>
      <c r="T12" s="16">
        <v>3.5999999999999997E-2</v>
      </c>
      <c r="U12" s="16">
        <v>4.1000000000000002E-2</v>
      </c>
      <c r="V12" s="16">
        <v>4.2000000000000003E-2</v>
      </c>
      <c r="W12" s="16">
        <v>4.0000000000000001E-3</v>
      </c>
      <c r="X12" s="16">
        <v>0.13500000000000001</v>
      </c>
      <c r="Y12" s="16">
        <v>4.3999999999999997E-2</v>
      </c>
    </row>
    <row r="13" spans="1:25" x14ac:dyDescent="0.2">
      <c r="A13" s="1" t="s">
        <v>5</v>
      </c>
      <c r="B13" s="16">
        <v>41.997999999999998</v>
      </c>
      <c r="C13" s="16">
        <v>2.3479999999999999</v>
      </c>
      <c r="D13" s="16">
        <v>1.4930000000000001</v>
      </c>
      <c r="E13" s="16">
        <v>0.23400000000000001</v>
      </c>
      <c r="F13" s="16">
        <v>-8.9999999999999993E-3</v>
      </c>
      <c r="G13" s="16">
        <v>-3.2000000000000001E-2</v>
      </c>
      <c r="H13" s="16">
        <v>1.4999999999999999E-2</v>
      </c>
      <c r="I13" s="16">
        <v>1E-3</v>
      </c>
      <c r="J13" s="16">
        <v>0.106</v>
      </c>
      <c r="K13" s="16">
        <v>1.1759999999999999</v>
      </c>
      <c r="L13" s="16">
        <v>0.08</v>
      </c>
      <c r="M13" s="16">
        <v>0.17799999999999999</v>
      </c>
      <c r="N13" s="16">
        <v>0.105</v>
      </c>
      <c r="O13" s="16">
        <v>-4.7E-2</v>
      </c>
      <c r="P13" s="16">
        <v>0.84099999999999997</v>
      </c>
      <c r="Q13" s="16">
        <v>-0.73</v>
      </c>
      <c r="R13" s="16">
        <v>4.0000000000000001E-3</v>
      </c>
      <c r="S13" s="16">
        <v>0.03</v>
      </c>
      <c r="T13" s="16">
        <v>3.6999999999999998E-2</v>
      </c>
      <c r="U13" s="16">
        <v>6.9000000000000006E-2</v>
      </c>
      <c r="V13" s="16">
        <v>5.0999999999999997E-2</v>
      </c>
      <c r="W13" s="16">
        <v>8.9999999999999993E-3</v>
      </c>
      <c r="X13" s="16">
        <v>0.14899999999999999</v>
      </c>
      <c r="Y13" s="16">
        <v>4.5999999999999999E-2</v>
      </c>
    </row>
    <row r="14" spans="1:25" x14ac:dyDescent="0.2">
      <c r="A14" s="1" t="s">
        <v>6</v>
      </c>
      <c r="B14" s="16">
        <v>34.966999999999999</v>
      </c>
      <c r="C14" s="16">
        <v>2.0750000000000002</v>
      </c>
      <c r="D14" s="16">
        <v>1.266</v>
      </c>
      <c r="E14" s="16">
        <v>0.24299999999999999</v>
      </c>
      <c r="F14" s="16">
        <v>-0.01</v>
      </c>
      <c r="G14" s="16">
        <v>-3.5999999999999997E-2</v>
      </c>
      <c r="H14" s="16">
        <v>1.2999999999999999E-2</v>
      </c>
      <c r="I14" s="16">
        <v>0</v>
      </c>
      <c r="J14" s="16">
        <v>0.129</v>
      </c>
      <c r="K14" s="16">
        <v>1.155</v>
      </c>
      <c r="L14" s="16">
        <v>9.0999999999999998E-2</v>
      </c>
      <c r="M14" s="16">
        <v>0.20100000000000001</v>
      </c>
      <c r="N14" s="16">
        <v>0.121</v>
      </c>
      <c r="O14" s="16">
        <v>-4.2999999999999997E-2</v>
      </c>
      <c r="P14" s="16">
        <v>0.86799999999999999</v>
      </c>
      <c r="Q14" s="16">
        <v>-0.74099999999999999</v>
      </c>
      <c r="R14" s="16">
        <v>4.0000000000000001E-3</v>
      </c>
      <c r="S14" s="16">
        <v>0.03</v>
      </c>
      <c r="T14" s="16">
        <v>3.5999999999999997E-2</v>
      </c>
      <c r="U14" s="16">
        <v>7.6999999999999999E-2</v>
      </c>
      <c r="V14" s="16">
        <v>0.05</v>
      </c>
      <c r="W14" s="16">
        <v>8.9999999999999993E-3</v>
      </c>
      <c r="X14" s="16">
        <v>0.14399999999999999</v>
      </c>
      <c r="Y14" s="16">
        <v>4.4999999999999998E-2</v>
      </c>
    </row>
    <row r="15" spans="1:25" x14ac:dyDescent="0.2">
      <c r="A15" s="1" t="s">
        <v>7</v>
      </c>
      <c r="B15" s="16">
        <v>52.399000000000001</v>
      </c>
      <c r="C15" s="16">
        <v>2.867</v>
      </c>
      <c r="D15" s="16">
        <v>1.827</v>
      </c>
      <c r="E15" s="16">
        <v>0.22</v>
      </c>
      <c r="F15" s="16">
        <v>-7.0000000000000001E-3</v>
      </c>
      <c r="G15" s="16">
        <v>-3.6999999999999998E-2</v>
      </c>
      <c r="H15" s="16">
        <v>1.7999999999999999E-2</v>
      </c>
      <c r="I15" s="16">
        <v>0</v>
      </c>
      <c r="J15" s="16">
        <v>6.3E-2</v>
      </c>
      <c r="K15" s="16">
        <v>1.181</v>
      </c>
      <c r="L15" s="16">
        <v>6.9000000000000006E-2</v>
      </c>
      <c r="M15" s="16">
        <v>0.14000000000000001</v>
      </c>
      <c r="N15" s="16">
        <v>8.4000000000000005E-2</v>
      </c>
      <c r="O15" s="16">
        <v>-5.3999999999999999E-2</v>
      </c>
      <c r="P15" s="16">
        <v>0.79300000000000004</v>
      </c>
      <c r="Q15" s="16">
        <v>-1.2290000000000001</v>
      </c>
      <c r="R15" s="16">
        <v>4.0000000000000001E-3</v>
      </c>
      <c r="S15" s="16">
        <v>3.1E-2</v>
      </c>
      <c r="T15" s="16">
        <v>3.7999999999999999E-2</v>
      </c>
      <c r="U15" s="16">
        <v>5.2999999999999999E-2</v>
      </c>
      <c r="V15" s="16">
        <v>5.0999999999999997E-2</v>
      </c>
      <c r="W15" s="16">
        <v>7.0000000000000001E-3</v>
      </c>
      <c r="X15" s="16">
        <v>0.152</v>
      </c>
      <c r="Y15" s="16">
        <v>4.7E-2</v>
      </c>
    </row>
    <row r="16" spans="1:25" x14ac:dyDescent="0.2">
      <c r="A16" s="1" t="s">
        <v>8</v>
      </c>
      <c r="B16" s="16">
        <v>46.298999999999999</v>
      </c>
      <c r="C16" s="16">
        <v>2.77</v>
      </c>
      <c r="D16" s="16">
        <v>1.653</v>
      </c>
      <c r="E16" s="16">
        <v>0.214</v>
      </c>
      <c r="F16" s="16">
        <v>-6.0000000000000001E-3</v>
      </c>
      <c r="G16" s="16">
        <v>-4.1000000000000002E-2</v>
      </c>
      <c r="H16" s="16">
        <v>1.2999999999999999E-2</v>
      </c>
      <c r="I16" s="16">
        <v>-2E-3</v>
      </c>
      <c r="J16" s="16">
        <v>6.5000000000000002E-2</v>
      </c>
      <c r="K16" s="16">
        <v>1.1319999999999999</v>
      </c>
      <c r="L16" s="16">
        <v>6.6000000000000003E-2</v>
      </c>
      <c r="M16" s="16">
        <v>0.13600000000000001</v>
      </c>
      <c r="N16" s="16">
        <v>0.104</v>
      </c>
      <c r="O16" s="16">
        <v>-5.0999999999999997E-2</v>
      </c>
      <c r="P16" s="16">
        <v>0.77200000000000002</v>
      </c>
      <c r="Q16" s="16">
        <v>-1.405</v>
      </c>
      <c r="R16" s="16">
        <v>4.0000000000000001E-3</v>
      </c>
      <c r="S16" s="16">
        <v>3.1E-2</v>
      </c>
      <c r="T16" s="16">
        <v>3.5999999999999997E-2</v>
      </c>
      <c r="U16" s="16">
        <v>5.0999999999999997E-2</v>
      </c>
      <c r="V16" s="16">
        <v>4.9000000000000002E-2</v>
      </c>
      <c r="W16" s="16">
        <v>7.0000000000000001E-3</v>
      </c>
      <c r="X16" s="16">
        <v>0.14199999999999999</v>
      </c>
      <c r="Y16" s="16">
        <v>4.3999999999999997E-2</v>
      </c>
    </row>
    <row r="17" spans="1:26" x14ac:dyDescent="0.2">
      <c r="A17" s="1" t="s">
        <v>9</v>
      </c>
      <c r="B17" s="16">
        <v>44.478000000000002</v>
      </c>
      <c r="C17" s="16">
        <v>2.8370000000000002</v>
      </c>
      <c r="D17" s="16">
        <v>1.611</v>
      </c>
      <c r="E17" s="16">
        <v>0.2</v>
      </c>
      <c r="F17" s="16">
        <v>-5.0000000000000001E-3</v>
      </c>
      <c r="G17" s="16">
        <v>-3.9E-2</v>
      </c>
      <c r="H17" s="16">
        <v>1.2999999999999999E-2</v>
      </c>
      <c r="I17" s="16">
        <v>-1E-3</v>
      </c>
      <c r="J17" s="16">
        <v>5.6000000000000001E-2</v>
      </c>
      <c r="K17" s="16">
        <v>1.099</v>
      </c>
      <c r="L17" s="16">
        <v>6.2E-2</v>
      </c>
      <c r="M17" s="16">
        <v>0.125</v>
      </c>
      <c r="N17" s="16">
        <v>9.7000000000000003E-2</v>
      </c>
      <c r="O17" s="16">
        <v>-5.0999999999999997E-2</v>
      </c>
      <c r="P17" s="16">
        <v>0.76900000000000002</v>
      </c>
      <c r="Q17" s="16">
        <v>-1.385</v>
      </c>
      <c r="R17" s="16">
        <v>4.0000000000000001E-3</v>
      </c>
      <c r="S17" s="16">
        <v>3.1E-2</v>
      </c>
      <c r="T17" s="16">
        <v>3.5999999999999997E-2</v>
      </c>
      <c r="U17" s="16">
        <v>4.5999999999999999E-2</v>
      </c>
      <c r="V17" s="16">
        <v>0.05</v>
      </c>
      <c r="W17" s="16">
        <v>8.0000000000000002E-3</v>
      </c>
      <c r="X17" s="16">
        <v>0.13500000000000001</v>
      </c>
      <c r="Y17" s="16">
        <v>4.2999999999999997E-2</v>
      </c>
    </row>
    <row r="18" spans="1:26" x14ac:dyDescent="0.2">
      <c r="A18" s="1" t="s">
        <v>10</v>
      </c>
      <c r="B18" s="16">
        <v>52.643000000000001</v>
      </c>
      <c r="C18" s="16">
        <v>2.82</v>
      </c>
      <c r="D18" s="16">
        <v>1.79</v>
      </c>
      <c r="E18" s="16">
        <v>0.23100000000000001</v>
      </c>
      <c r="F18" s="16">
        <v>-4.0000000000000001E-3</v>
      </c>
      <c r="G18" s="16">
        <v>-6.4000000000000001E-2</v>
      </c>
      <c r="H18" s="16">
        <v>4.0000000000000001E-3</v>
      </c>
      <c r="I18" s="16">
        <v>-8.0000000000000002E-3</v>
      </c>
      <c r="J18" s="16">
        <v>5.3999999999999999E-2</v>
      </c>
      <c r="K18" s="16">
        <v>1.2050000000000001</v>
      </c>
      <c r="L18" s="16">
        <v>6.0999999999999999E-2</v>
      </c>
      <c r="M18" s="16">
        <v>0.13300000000000001</v>
      </c>
      <c r="N18" s="16">
        <v>0.121</v>
      </c>
      <c r="O18" s="16">
        <v>-5.8999999999999997E-2</v>
      </c>
      <c r="P18" s="16">
        <v>0.77600000000000002</v>
      </c>
      <c r="Q18" s="16">
        <v>-10.839</v>
      </c>
      <c r="R18" s="16">
        <v>3.0000000000000001E-3</v>
      </c>
      <c r="S18" s="16">
        <v>3.5000000000000003E-2</v>
      </c>
      <c r="T18" s="16">
        <v>3.5999999999999997E-2</v>
      </c>
      <c r="U18" s="16">
        <v>0.04</v>
      </c>
      <c r="V18" s="16">
        <v>0.05</v>
      </c>
      <c r="W18" s="16">
        <v>7.0000000000000001E-3</v>
      </c>
      <c r="X18" s="16">
        <v>0.157</v>
      </c>
      <c r="Y18" s="16">
        <v>4.7E-2</v>
      </c>
    </row>
    <row r="19" spans="1:26" x14ac:dyDescent="0.2">
      <c r="A19" s="1" t="s">
        <v>11</v>
      </c>
      <c r="B19" s="16">
        <v>51.716999999999999</v>
      </c>
      <c r="C19" s="16">
        <v>2.915</v>
      </c>
      <c r="D19" s="16">
        <v>1.7190000000000001</v>
      </c>
      <c r="E19" s="16">
        <v>0.221</v>
      </c>
      <c r="F19" s="16">
        <v>-3.0000000000000001E-3</v>
      </c>
      <c r="G19" s="16">
        <v>-7.1999999999999995E-2</v>
      </c>
      <c r="H19" s="16">
        <v>-1E-3</v>
      </c>
      <c r="I19" s="16">
        <v>-0.01</v>
      </c>
      <c r="J19" s="16">
        <v>4.2000000000000003E-2</v>
      </c>
      <c r="K19" s="16">
        <v>1.1839999999999999</v>
      </c>
      <c r="L19" s="16">
        <v>5.8000000000000003E-2</v>
      </c>
      <c r="M19" s="16">
        <v>0.12</v>
      </c>
      <c r="N19" s="16">
        <v>0.124</v>
      </c>
      <c r="O19" s="16">
        <v>-5.8000000000000003E-2</v>
      </c>
      <c r="P19" s="16">
        <v>0.73299999999999998</v>
      </c>
      <c r="Q19" s="16">
        <v>-12.115</v>
      </c>
      <c r="R19" s="16">
        <v>3.0000000000000001E-3</v>
      </c>
      <c r="S19" s="16">
        <v>3.5000000000000003E-2</v>
      </c>
      <c r="T19" s="16">
        <v>3.4000000000000002E-2</v>
      </c>
      <c r="U19" s="16">
        <v>3.4000000000000002E-2</v>
      </c>
      <c r="V19" s="16">
        <v>4.7E-2</v>
      </c>
      <c r="W19" s="16">
        <v>6.0000000000000001E-3</v>
      </c>
      <c r="X19" s="16">
        <v>0.14899999999999999</v>
      </c>
      <c r="Y19" s="16">
        <v>4.5999999999999999E-2</v>
      </c>
    </row>
    <row r="21" spans="1:26" x14ac:dyDescent="0.2">
      <c r="A21" s="9" t="s">
        <v>48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3" spans="1:26" x14ac:dyDescent="0.2">
      <c r="B23" s="1" t="s">
        <v>19</v>
      </c>
      <c r="C23" s="1" t="s">
        <v>20</v>
      </c>
      <c r="D23" s="1" t="s">
        <v>21</v>
      </c>
      <c r="E23" s="1" t="s">
        <v>23</v>
      </c>
      <c r="F23" s="1" t="s">
        <v>22</v>
      </c>
      <c r="G23" s="1" t="s">
        <v>24</v>
      </c>
      <c r="H23" s="1" t="s">
        <v>25</v>
      </c>
      <c r="I23" s="1" t="s">
        <v>26</v>
      </c>
      <c r="J23" s="1" t="s">
        <v>27</v>
      </c>
      <c r="K23" s="1" t="s">
        <v>28</v>
      </c>
      <c r="L23" s="1" t="s">
        <v>29</v>
      </c>
      <c r="M23" s="1" t="s">
        <v>30</v>
      </c>
      <c r="N23" s="1" t="s">
        <v>31</v>
      </c>
      <c r="O23" s="1" t="s">
        <v>32</v>
      </c>
      <c r="P23" s="1" t="s">
        <v>33</v>
      </c>
      <c r="Q23" s="1" t="s">
        <v>34</v>
      </c>
      <c r="R23" s="1" t="s">
        <v>35</v>
      </c>
      <c r="S23" s="1" t="s">
        <v>36</v>
      </c>
      <c r="T23" s="1" t="s">
        <v>37</v>
      </c>
      <c r="U23" s="1" t="s">
        <v>38</v>
      </c>
      <c r="V23" s="1" t="s">
        <v>39</v>
      </c>
      <c r="W23" s="1" t="s">
        <v>40</v>
      </c>
      <c r="X23" s="1" t="s">
        <v>41</v>
      </c>
      <c r="Y23" s="1" t="s">
        <v>42</v>
      </c>
      <c r="Z23" s="1" t="s">
        <v>44</v>
      </c>
    </row>
    <row r="24" spans="1:26" x14ac:dyDescent="0.2">
      <c r="A24" s="1" t="s">
        <v>43</v>
      </c>
      <c r="B24" s="11">
        <v>2.1999999999999999E-2</v>
      </c>
      <c r="C24" s="11">
        <v>5.01</v>
      </c>
      <c r="D24" s="11">
        <v>3.33</v>
      </c>
      <c r="E24" s="11">
        <v>30</v>
      </c>
      <c r="F24" s="11">
        <v>-74</v>
      </c>
      <c r="G24" s="11">
        <v>-57</v>
      </c>
      <c r="H24" s="11">
        <v>8</v>
      </c>
      <c r="I24" s="11">
        <v>3</v>
      </c>
      <c r="J24" s="11">
        <v>6</v>
      </c>
      <c r="K24" s="11">
        <v>1</v>
      </c>
      <c r="L24" s="11">
        <v>1.5</v>
      </c>
      <c r="M24" s="11">
        <v>4.3</v>
      </c>
      <c r="N24" s="11">
        <v>14.3</v>
      </c>
      <c r="O24" s="11">
        <v>0</v>
      </c>
      <c r="P24" s="11">
        <v>1</v>
      </c>
      <c r="Q24" s="11">
        <v>-0.35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2</v>
      </c>
      <c r="Y24" s="11">
        <v>8.1999999999999993</v>
      </c>
    </row>
    <row r="25" spans="1:26" x14ac:dyDescent="0.2">
      <c r="A25" s="1" t="s">
        <v>0</v>
      </c>
      <c r="B25" s="17">
        <f>B$24*B8</f>
        <v>2.30274</v>
      </c>
      <c r="C25" s="17">
        <f>C$24*C8</f>
        <v>17.1843</v>
      </c>
      <c r="D25" s="17">
        <f t="shared" ref="D25:Y25" si="0">D$24*D8</f>
        <v>8.8910999999999998</v>
      </c>
      <c r="E25" s="17">
        <f t="shared" si="0"/>
        <v>1.347</v>
      </c>
      <c r="F25" s="17">
        <f t="shared" si="0"/>
        <v>-0.39960000000000001</v>
      </c>
      <c r="G25" s="17">
        <f t="shared" si="0"/>
        <v>1.482</v>
      </c>
      <c r="H25" s="17">
        <f t="shared" si="0"/>
        <v>6.4000000000000001E-2</v>
      </c>
      <c r="I25" s="17">
        <f t="shared" si="0"/>
        <v>-3.6600000000000001E-2</v>
      </c>
      <c r="J25" s="17">
        <f t="shared" si="0"/>
        <v>-0.84119999999999995</v>
      </c>
      <c r="K25" s="17">
        <f t="shared" si="0"/>
        <v>0.48309999999999997</v>
      </c>
      <c r="L25" s="17">
        <f t="shared" si="0"/>
        <v>-6.8100000000000008E-2</v>
      </c>
      <c r="M25" s="17">
        <f t="shared" si="0"/>
        <v>-0.42655999999999999</v>
      </c>
      <c r="N25" s="17">
        <f t="shared" si="0"/>
        <v>-0.99670999999999998</v>
      </c>
      <c r="O25" s="17">
        <f t="shared" si="0"/>
        <v>0</v>
      </c>
      <c r="P25" s="17">
        <f t="shared" si="0"/>
        <v>8.4699999999999998E-2</v>
      </c>
      <c r="Q25" s="17">
        <f t="shared" si="0"/>
        <v>0.198905</v>
      </c>
      <c r="R25" s="17">
        <f t="shared" si="0"/>
        <v>0</v>
      </c>
      <c r="S25" s="17">
        <f t="shared" si="0"/>
        <v>0</v>
      </c>
      <c r="T25" s="17">
        <f t="shared" si="0"/>
        <v>0</v>
      </c>
      <c r="U25" s="17">
        <f t="shared" si="0"/>
        <v>0</v>
      </c>
      <c r="V25" s="17">
        <f t="shared" si="0"/>
        <v>0</v>
      </c>
      <c r="W25" s="17">
        <f t="shared" si="0"/>
        <v>0</v>
      </c>
      <c r="X25" s="17">
        <f t="shared" si="0"/>
        <v>0.25440000000000002</v>
      </c>
      <c r="Y25" s="17">
        <f t="shared" si="0"/>
        <v>0.25173999999999996</v>
      </c>
      <c r="Z25" cm="1">
        <f t="array" ref="Z25">SUM(ABS(B25:Y25))</f>
        <v>35.312755000000003</v>
      </c>
    </row>
    <row r="26" spans="1:26" x14ac:dyDescent="0.2">
      <c r="A26" s="1" t="s">
        <v>1</v>
      </c>
      <c r="B26" s="17">
        <f t="shared" ref="B26:C36" si="1">B$24*B9</f>
        <v>2.00739</v>
      </c>
      <c r="C26" s="17">
        <f t="shared" si="1"/>
        <v>19.383690000000001</v>
      </c>
      <c r="D26" s="17">
        <f t="shared" ref="D26:Y26" si="2">D$24*D9</f>
        <v>9.4871700000000008</v>
      </c>
      <c r="E26" s="17">
        <f t="shared" si="2"/>
        <v>1.41</v>
      </c>
      <c r="F26" s="17">
        <f t="shared" si="2"/>
        <v>-0.37</v>
      </c>
      <c r="G26" s="17">
        <f t="shared" si="2"/>
        <v>1.3109999999999999</v>
      </c>
      <c r="H26" s="17">
        <f t="shared" si="2"/>
        <v>0.04</v>
      </c>
      <c r="I26" s="17">
        <f t="shared" si="2"/>
        <v>-3.9E-2</v>
      </c>
      <c r="J26" s="17">
        <f t="shared" si="2"/>
        <v>-0.78</v>
      </c>
      <c r="K26" s="17">
        <f t="shared" si="2"/>
        <v>0.54900000000000004</v>
      </c>
      <c r="L26" s="17">
        <f t="shared" si="2"/>
        <v>-6.9000000000000006E-2</v>
      </c>
      <c r="M26" s="17">
        <f t="shared" si="2"/>
        <v>-0.36979999999999996</v>
      </c>
      <c r="N26" s="17">
        <f t="shared" si="2"/>
        <v>-0.94380000000000008</v>
      </c>
      <c r="O26" s="17">
        <f t="shared" si="2"/>
        <v>0</v>
      </c>
      <c r="P26" s="17">
        <f t="shared" si="2"/>
        <v>0.153</v>
      </c>
      <c r="Q26" s="17">
        <f t="shared" si="2"/>
        <v>0.18234999999999998</v>
      </c>
      <c r="R26" s="17">
        <f t="shared" si="2"/>
        <v>0</v>
      </c>
      <c r="S26" s="17">
        <f t="shared" si="2"/>
        <v>0</v>
      </c>
      <c r="T26" s="17">
        <f t="shared" si="2"/>
        <v>0</v>
      </c>
      <c r="U26" s="17">
        <f t="shared" si="2"/>
        <v>0</v>
      </c>
      <c r="V26" s="17">
        <f t="shared" si="2"/>
        <v>0</v>
      </c>
      <c r="W26" s="17">
        <f t="shared" si="2"/>
        <v>0</v>
      </c>
      <c r="X26" s="17">
        <f t="shared" si="2"/>
        <v>0.27</v>
      </c>
      <c r="Y26" s="17">
        <f t="shared" si="2"/>
        <v>0.23779999999999998</v>
      </c>
      <c r="Z26" cm="1">
        <f t="array" ref="Z26">SUM(ABS(B26:Y26))</f>
        <v>37.603000000000002</v>
      </c>
    </row>
    <row r="27" spans="1:26" x14ac:dyDescent="0.2">
      <c r="A27" s="1" t="s">
        <v>2</v>
      </c>
      <c r="B27" s="17">
        <f t="shared" si="1"/>
        <v>1.7181339999999998</v>
      </c>
      <c r="C27" s="17">
        <f t="shared" si="1"/>
        <v>21.277469999999997</v>
      </c>
      <c r="D27" s="17">
        <f t="shared" ref="D27:Y27" si="3">D$24*D10</f>
        <v>8.8178400000000003</v>
      </c>
      <c r="E27" s="17">
        <f t="shared" si="3"/>
        <v>1.3199999999999998</v>
      </c>
      <c r="F27" s="17">
        <f t="shared" si="3"/>
        <v>-0.29599999999999999</v>
      </c>
      <c r="G27" s="17">
        <f t="shared" si="3"/>
        <v>1.254</v>
      </c>
      <c r="H27" s="17">
        <f t="shared" si="3"/>
        <v>0.04</v>
      </c>
      <c r="I27" s="17">
        <f t="shared" si="3"/>
        <v>-3.3000000000000002E-2</v>
      </c>
      <c r="J27" s="17">
        <f t="shared" si="3"/>
        <v>-0.73199999999999998</v>
      </c>
      <c r="K27" s="17">
        <f t="shared" si="3"/>
        <v>0.59599999999999997</v>
      </c>
      <c r="L27" s="17">
        <f t="shared" si="3"/>
        <v>-5.8499999999999996E-2</v>
      </c>
      <c r="M27" s="17">
        <f t="shared" si="3"/>
        <v>-0.33539999999999998</v>
      </c>
      <c r="N27" s="17">
        <f t="shared" si="3"/>
        <v>-0.85799999999999998</v>
      </c>
      <c r="O27" s="17">
        <f t="shared" si="3"/>
        <v>0</v>
      </c>
      <c r="P27" s="17">
        <f t="shared" si="3"/>
        <v>0.2</v>
      </c>
      <c r="Q27" s="17">
        <f t="shared" si="3"/>
        <v>0.20894999999999997</v>
      </c>
      <c r="R27" s="17">
        <f t="shared" si="3"/>
        <v>0</v>
      </c>
      <c r="S27" s="17">
        <f t="shared" si="3"/>
        <v>0</v>
      </c>
      <c r="T27" s="17">
        <f t="shared" si="3"/>
        <v>0</v>
      </c>
      <c r="U27" s="17">
        <f t="shared" si="3"/>
        <v>0</v>
      </c>
      <c r="V27" s="17">
        <f t="shared" si="3"/>
        <v>0</v>
      </c>
      <c r="W27" s="17">
        <f t="shared" si="3"/>
        <v>0</v>
      </c>
      <c r="X27" s="17">
        <f t="shared" si="3"/>
        <v>0.248</v>
      </c>
      <c r="Y27" s="17">
        <f t="shared" si="3"/>
        <v>0.2296</v>
      </c>
      <c r="Z27" cm="1">
        <f t="array" ref="Z27">SUM(ABS(B27:Y27))</f>
        <v>38.222893999999989</v>
      </c>
    </row>
    <row r="28" spans="1:26" x14ac:dyDescent="0.2">
      <c r="A28" s="1" t="s">
        <v>3</v>
      </c>
      <c r="B28" s="17">
        <f t="shared" si="1"/>
        <v>1.5637379999999999</v>
      </c>
      <c r="C28" s="17">
        <f t="shared" si="1"/>
        <v>15.00996</v>
      </c>
      <c r="D28" s="17">
        <f t="shared" ref="D28:Y28" si="4">D$24*D11</f>
        <v>7.3992599999999999</v>
      </c>
      <c r="E28" s="17">
        <f t="shared" si="4"/>
        <v>5.49</v>
      </c>
      <c r="F28" s="17">
        <f t="shared" si="4"/>
        <v>0.37</v>
      </c>
      <c r="G28" s="17">
        <f t="shared" si="4"/>
        <v>1.5960000000000001</v>
      </c>
      <c r="H28" s="17">
        <f t="shared" si="4"/>
        <v>3.2000000000000001E-2</v>
      </c>
      <c r="I28" s="17">
        <f t="shared" si="4"/>
        <v>-0.03</v>
      </c>
      <c r="J28" s="17">
        <f t="shared" si="4"/>
        <v>-4.8000000000000001E-2</v>
      </c>
      <c r="K28" s="17">
        <f t="shared" si="4"/>
        <v>0.81499999999999995</v>
      </c>
      <c r="L28" s="17">
        <f t="shared" si="4"/>
        <v>2.1000000000000001E-2</v>
      </c>
      <c r="M28" s="17">
        <f t="shared" si="4"/>
        <v>0.24079999999999999</v>
      </c>
      <c r="N28" s="17">
        <f t="shared" si="4"/>
        <v>0.82940000000000014</v>
      </c>
      <c r="O28" s="17">
        <f t="shared" si="4"/>
        <v>0</v>
      </c>
      <c r="P28" s="17">
        <f t="shared" si="4"/>
        <v>0.64100000000000001</v>
      </c>
      <c r="Q28" s="17">
        <f t="shared" si="4"/>
        <v>0.36854999999999993</v>
      </c>
      <c r="R28" s="17">
        <f t="shared" si="4"/>
        <v>0</v>
      </c>
      <c r="S28" s="17">
        <f t="shared" si="4"/>
        <v>0</v>
      </c>
      <c r="T28" s="17">
        <f t="shared" si="4"/>
        <v>0</v>
      </c>
      <c r="U28" s="17">
        <f t="shared" si="4"/>
        <v>0</v>
      </c>
      <c r="V28" s="17">
        <f t="shared" si="4"/>
        <v>0</v>
      </c>
      <c r="W28" s="17">
        <f t="shared" si="4"/>
        <v>0</v>
      </c>
      <c r="X28" s="17">
        <f t="shared" si="4"/>
        <v>0.29599999999999999</v>
      </c>
      <c r="Y28" s="17">
        <f t="shared" si="4"/>
        <v>0.35259999999999991</v>
      </c>
      <c r="Z28" cm="1">
        <f t="array" ref="Z28">SUM(ABS(B28:Y28))</f>
        <v>35.103307999999998</v>
      </c>
    </row>
    <row r="29" spans="1:26" x14ac:dyDescent="0.2">
      <c r="A29" s="1" t="s">
        <v>4</v>
      </c>
      <c r="B29" s="17">
        <f t="shared" si="1"/>
        <v>1.56541</v>
      </c>
      <c r="C29" s="17">
        <f t="shared" si="1"/>
        <v>14.123189999999999</v>
      </c>
      <c r="D29" s="17">
        <f t="shared" ref="D29:Y29" si="5">D$24*D12</f>
        <v>7.3859399999999997</v>
      </c>
      <c r="E29" s="17">
        <f t="shared" si="5"/>
        <v>5.67</v>
      </c>
      <c r="F29" s="17">
        <f t="shared" si="5"/>
        <v>0.44400000000000001</v>
      </c>
      <c r="G29" s="17">
        <f t="shared" si="5"/>
        <v>1.881</v>
      </c>
      <c r="H29" s="17">
        <f t="shared" si="5"/>
        <v>0.192</v>
      </c>
      <c r="I29" s="17">
        <f t="shared" si="5"/>
        <v>1.4999999999999999E-2</v>
      </c>
      <c r="J29" s="17">
        <f t="shared" si="5"/>
        <v>-0.10799999999999998</v>
      </c>
      <c r="K29" s="17">
        <f t="shared" si="5"/>
        <v>0.79500000000000004</v>
      </c>
      <c r="L29" s="17">
        <f t="shared" si="5"/>
        <v>2.4E-2</v>
      </c>
      <c r="M29" s="17">
        <f t="shared" si="5"/>
        <v>0.19779999999999998</v>
      </c>
      <c r="N29" s="17">
        <f t="shared" si="5"/>
        <v>0.67210000000000003</v>
      </c>
      <c r="O29" s="17">
        <f t="shared" si="5"/>
        <v>0</v>
      </c>
      <c r="P29" s="17">
        <f t="shared" si="5"/>
        <v>0.67600000000000005</v>
      </c>
      <c r="Q29" s="17">
        <f t="shared" si="5"/>
        <v>0.45464999999999994</v>
      </c>
      <c r="R29" s="17">
        <f t="shared" si="5"/>
        <v>0</v>
      </c>
      <c r="S29" s="17">
        <f t="shared" si="5"/>
        <v>0</v>
      </c>
      <c r="T29" s="17">
        <f t="shared" si="5"/>
        <v>0</v>
      </c>
      <c r="U29" s="17">
        <f t="shared" si="5"/>
        <v>0</v>
      </c>
      <c r="V29" s="17">
        <f t="shared" si="5"/>
        <v>0</v>
      </c>
      <c r="W29" s="17">
        <f t="shared" si="5"/>
        <v>0</v>
      </c>
      <c r="X29" s="17">
        <f t="shared" si="5"/>
        <v>0.27</v>
      </c>
      <c r="Y29" s="17">
        <f t="shared" si="5"/>
        <v>0.36079999999999995</v>
      </c>
      <c r="Z29" cm="1">
        <f t="array" ref="Z29">SUM(ABS(B29:Y29))</f>
        <v>34.834890000000009</v>
      </c>
    </row>
    <row r="30" spans="1:26" x14ac:dyDescent="0.2">
      <c r="A30" s="1" t="s">
        <v>5</v>
      </c>
      <c r="B30" s="17">
        <f t="shared" si="1"/>
        <v>0.92395599999999989</v>
      </c>
      <c r="C30" s="17">
        <f t="shared" si="1"/>
        <v>11.763479999999999</v>
      </c>
      <c r="D30" s="17">
        <f t="shared" ref="D30:Y30" si="6">D$24*D13</f>
        <v>4.9716900000000006</v>
      </c>
      <c r="E30" s="17">
        <f t="shared" si="6"/>
        <v>7.0200000000000005</v>
      </c>
      <c r="F30" s="17">
        <f t="shared" si="6"/>
        <v>0.66599999999999993</v>
      </c>
      <c r="G30" s="17">
        <f t="shared" si="6"/>
        <v>1.8240000000000001</v>
      </c>
      <c r="H30" s="17">
        <f t="shared" si="6"/>
        <v>0.12</v>
      </c>
      <c r="I30" s="17">
        <f t="shared" si="6"/>
        <v>3.0000000000000001E-3</v>
      </c>
      <c r="J30" s="17">
        <f t="shared" si="6"/>
        <v>0.63600000000000001</v>
      </c>
      <c r="K30" s="17">
        <f t="shared" si="6"/>
        <v>1.1759999999999999</v>
      </c>
      <c r="L30" s="17">
        <f t="shared" si="6"/>
        <v>0.12</v>
      </c>
      <c r="M30" s="17">
        <f t="shared" si="6"/>
        <v>0.76539999999999997</v>
      </c>
      <c r="N30" s="17">
        <f t="shared" si="6"/>
        <v>1.5015000000000001</v>
      </c>
      <c r="O30" s="17">
        <f t="shared" si="6"/>
        <v>0</v>
      </c>
      <c r="P30" s="17">
        <f t="shared" si="6"/>
        <v>0.84099999999999997</v>
      </c>
      <c r="Q30" s="17">
        <f t="shared" si="6"/>
        <v>0.2555</v>
      </c>
      <c r="R30" s="17">
        <f t="shared" si="6"/>
        <v>0</v>
      </c>
      <c r="S30" s="17">
        <f t="shared" si="6"/>
        <v>0</v>
      </c>
      <c r="T30" s="17">
        <f t="shared" si="6"/>
        <v>0</v>
      </c>
      <c r="U30" s="17">
        <f t="shared" si="6"/>
        <v>0</v>
      </c>
      <c r="V30" s="17">
        <f t="shared" si="6"/>
        <v>0</v>
      </c>
      <c r="W30" s="17">
        <f t="shared" si="6"/>
        <v>0</v>
      </c>
      <c r="X30" s="17">
        <f t="shared" si="6"/>
        <v>0.29799999999999999</v>
      </c>
      <c r="Y30" s="17">
        <f t="shared" si="6"/>
        <v>0.37719999999999998</v>
      </c>
      <c r="Z30" cm="1">
        <f t="array" ref="Z30">SUM(ABS(B30:Y30))</f>
        <v>33.262726000000001</v>
      </c>
    </row>
    <row r="31" spans="1:26" x14ac:dyDescent="0.2">
      <c r="A31" s="1" t="s">
        <v>6</v>
      </c>
      <c r="B31" s="17">
        <f t="shared" si="1"/>
        <v>0.7692739999999999</v>
      </c>
      <c r="C31" s="17">
        <f t="shared" si="1"/>
        <v>10.39575</v>
      </c>
      <c r="D31" s="17">
        <f t="shared" ref="D31:Y31" si="7">D$24*D14</f>
        <v>4.2157800000000005</v>
      </c>
      <c r="E31" s="17">
        <f t="shared" si="7"/>
        <v>7.29</v>
      </c>
      <c r="F31" s="17">
        <f t="shared" si="7"/>
        <v>0.74</v>
      </c>
      <c r="G31" s="17">
        <f t="shared" si="7"/>
        <v>2.052</v>
      </c>
      <c r="H31" s="17">
        <f t="shared" si="7"/>
        <v>0.104</v>
      </c>
      <c r="I31" s="17">
        <f t="shared" si="7"/>
        <v>0</v>
      </c>
      <c r="J31" s="17">
        <f t="shared" si="7"/>
        <v>0.77400000000000002</v>
      </c>
      <c r="K31" s="17">
        <f t="shared" si="7"/>
        <v>1.155</v>
      </c>
      <c r="L31" s="17">
        <f t="shared" si="7"/>
        <v>0.13650000000000001</v>
      </c>
      <c r="M31" s="17">
        <f t="shared" si="7"/>
        <v>0.86430000000000007</v>
      </c>
      <c r="N31" s="17">
        <f t="shared" si="7"/>
        <v>1.7302999999999999</v>
      </c>
      <c r="O31" s="17">
        <f t="shared" si="7"/>
        <v>0</v>
      </c>
      <c r="P31" s="17">
        <f t="shared" si="7"/>
        <v>0.86799999999999999</v>
      </c>
      <c r="Q31" s="17">
        <f t="shared" si="7"/>
        <v>0.25934999999999997</v>
      </c>
      <c r="R31" s="17">
        <f t="shared" si="7"/>
        <v>0</v>
      </c>
      <c r="S31" s="17">
        <f t="shared" si="7"/>
        <v>0</v>
      </c>
      <c r="T31" s="17">
        <f t="shared" si="7"/>
        <v>0</v>
      </c>
      <c r="U31" s="17">
        <f t="shared" si="7"/>
        <v>0</v>
      </c>
      <c r="V31" s="17">
        <f t="shared" si="7"/>
        <v>0</v>
      </c>
      <c r="W31" s="17">
        <f t="shared" si="7"/>
        <v>0</v>
      </c>
      <c r="X31" s="17">
        <f t="shared" si="7"/>
        <v>0.28799999999999998</v>
      </c>
      <c r="Y31" s="17">
        <f t="shared" si="7"/>
        <v>0.36899999999999994</v>
      </c>
      <c r="Z31" cm="1">
        <f t="array" ref="Z31">SUM(ABS(B31:Y31))</f>
        <v>32.011254000000001</v>
      </c>
    </row>
    <row r="32" spans="1:26" x14ac:dyDescent="0.2">
      <c r="A32" s="1" t="s">
        <v>7</v>
      </c>
      <c r="B32" s="17">
        <f t="shared" si="1"/>
        <v>1.1527779999999999</v>
      </c>
      <c r="C32" s="17">
        <f t="shared" si="1"/>
        <v>14.363669999999999</v>
      </c>
      <c r="D32" s="17">
        <f t="shared" ref="D32:Y32" si="8">D$24*D15</f>
        <v>6.0839100000000004</v>
      </c>
      <c r="E32" s="17">
        <f t="shared" si="8"/>
        <v>6.6</v>
      </c>
      <c r="F32" s="17">
        <f t="shared" si="8"/>
        <v>0.51800000000000002</v>
      </c>
      <c r="G32" s="17">
        <f t="shared" si="8"/>
        <v>2.109</v>
      </c>
      <c r="H32" s="17">
        <f t="shared" si="8"/>
        <v>0.14399999999999999</v>
      </c>
      <c r="I32" s="17">
        <f t="shared" si="8"/>
        <v>0</v>
      </c>
      <c r="J32" s="17">
        <f t="shared" si="8"/>
        <v>0.378</v>
      </c>
      <c r="K32" s="17">
        <f t="shared" si="8"/>
        <v>1.181</v>
      </c>
      <c r="L32" s="17">
        <f t="shared" si="8"/>
        <v>0.10350000000000001</v>
      </c>
      <c r="M32" s="17">
        <f t="shared" si="8"/>
        <v>0.60199999999999998</v>
      </c>
      <c r="N32" s="17">
        <f t="shared" si="8"/>
        <v>1.2012</v>
      </c>
      <c r="O32" s="17">
        <f t="shared" si="8"/>
        <v>0</v>
      </c>
      <c r="P32" s="17">
        <f t="shared" si="8"/>
        <v>0.79300000000000004</v>
      </c>
      <c r="Q32" s="17">
        <f t="shared" si="8"/>
        <v>0.43015000000000003</v>
      </c>
      <c r="R32" s="17">
        <f t="shared" si="8"/>
        <v>0</v>
      </c>
      <c r="S32" s="17">
        <f t="shared" si="8"/>
        <v>0</v>
      </c>
      <c r="T32" s="17">
        <f t="shared" si="8"/>
        <v>0</v>
      </c>
      <c r="U32" s="17">
        <f t="shared" si="8"/>
        <v>0</v>
      </c>
      <c r="V32" s="17">
        <f t="shared" si="8"/>
        <v>0</v>
      </c>
      <c r="W32" s="17">
        <f t="shared" si="8"/>
        <v>0</v>
      </c>
      <c r="X32" s="17">
        <f t="shared" si="8"/>
        <v>0.30399999999999999</v>
      </c>
      <c r="Y32" s="17">
        <f t="shared" si="8"/>
        <v>0.38539999999999996</v>
      </c>
      <c r="Z32" cm="1">
        <f t="array" ref="Z32">SUM(ABS(B32:Y32))</f>
        <v>36.349607999999989</v>
      </c>
    </row>
    <row r="33" spans="1:26" x14ac:dyDescent="0.2">
      <c r="A33" s="1" t="s">
        <v>8</v>
      </c>
      <c r="B33" s="17">
        <f t="shared" si="1"/>
        <v>1.018578</v>
      </c>
      <c r="C33" s="17">
        <f t="shared" si="1"/>
        <v>13.877699999999999</v>
      </c>
      <c r="D33" s="17">
        <f t="shared" ref="D33:Y33" si="9">D$24*D16</f>
        <v>5.5044900000000005</v>
      </c>
      <c r="E33" s="17">
        <f t="shared" si="9"/>
        <v>6.42</v>
      </c>
      <c r="F33" s="17">
        <f t="shared" si="9"/>
        <v>0.44400000000000001</v>
      </c>
      <c r="G33" s="17">
        <f t="shared" si="9"/>
        <v>2.3370000000000002</v>
      </c>
      <c r="H33" s="17">
        <f t="shared" si="9"/>
        <v>0.104</v>
      </c>
      <c r="I33" s="17">
        <f t="shared" si="9"/>
        <v>-6.0000000000000001E-3</v>
      </c>
      <c r="J33" s="17">
        <f t="shared" si="9"/>
        <v>0.39</v>
      </c>
      <c r="K33" s="17">
        <f t="shared" si="9"/>
        <v>1.1319999999999999</v>
      </c>
      <c r="L33" s="17">
        <f t="shared" si="9"/>
        <v>9.9000000000000005E-2</v>
      </c>
      <c r="M33" s="17">
        <f t="shared" si="9"/>
        <v>0.58479999999999999</v>
      </c>
      <c r="N33" s="17">
        <f t="shared" si="9"/>
        <v>1.4872000000000001</v>
      </c>
      <c r="O33" s="17">
        <f t="shared" si="9"/>
        <v>0</v>
      </c>
      <c r="P33" s="17">
        <f t="shared" si="9"/>
        <v>0.77200000000000002</v>
      </c>
      <c r="Q33" s="17">
        <f t="shared" si="9"/>
        <v>0.49174999999999996</v>
      </c>
      <c r="R33" s="17">
        <f t="shared" si="9"/>
        <v>0</v>
      </c>
      <c r="S33" s="17">
        <f t="shared" si="9"/>
        <v>0</v>
      </c>
      <c r="T33" s="17">
        <f t="shared" si="9"/>
        <v>0</v>
      </c>
      <c r="U33" s="17">
        <f t="shared" si="9"/>
        <v>0</v>
      </c>
      <c r="V33" s="17">
        <f t="shared" si="9"/>
        <v>0</v>
      </c>
      <c r="W33" s="17">
        <f t="shared" si="9"/>
        <v>0</v>
      </c>
      <c r="X33" s="17">
        <f t="shared" si="9"/>
        <v>0.28399999999999997</v>
      </c>
      <c r="Y33" s="17">
        <f t="shared" si="9"/>
        <v>0.36079999999999995</v>
      </c>
      <c r="Z33" cm="1">
        <f t="array" ref="Z33">SUM(ABS(B33:Y33))</f>
        <v>35.313318000000002</v>
      </c>
    </row>
    <row r="34" spans="1:26" x14ac:dyDescent="0.2">
      <c r="A34" s="1" t="s">
        <v>9</v>
      </c>
      <c r="B34" s="17">
        <f t="shared" si="1"/>
        <v>0.97851599999999994</v>
      </c>
      <c r="C34" s="17">
        <f t="shared" si="1"/>
        <v>14.213370000000001</v>
      </c>
      <c r="D34" s="17">
        <f t="shared" ref="D34:Y34" si="10">D$24*D17</f>
        <v>5.36463</v>
      </c>
      <c r="E34" s="17">
        <f t="shared" si="10"/>
        <v>6</v>
      </c>
      <c r="F34" s="17">
        <f t="shared" si="10"/>
        <v>0.37</v>
      </c>
      <c r="G34" s="17">
        <f t="shared" si="10"/>
        <v>2.2229999999999999</v>
      </c>
      <c r="H34" s="17">
        <f t="shared" si="10"/>
        <v>0.104</v>
      </c>
      <c r="I34" s="17">
        <f t="shared" si="10"/>
        <v>-3.0000000000000001E-3</v>
      </c>
      <c r="J34" s="17">
        <f t="shared" si="10"/>
        <v>0.33600000000000002</v>
      </c>
      <c r="K34" s="17">
        <f t="shared" si="10"/>
        <v>1.099</v>
      </c>
      <c r="L34" s="17">
        <f t="shared" si="10"/>
        <v>9.2999999999999999E-2</v>
      </c>
      <c r="M34" s="17">
        <f t="shared" si="10"/>
        <v>0.53749999999999998</v>
      </c>
      <c r="N34" s="17">
        <f t="shared" si="10"/>
        <v>1.3871</v>
      </c>
      <c r="O34" s="17">
        <f t="shared" si="10"/>
        <v>0</v>
      </c>
      <c r="P34" s="17">
        <f t="shared" si="10"/>
        <v>0.76900000000000002</v>
      </c>
      <c r="Q34" s="17">
        <f t="shared" si="10"/>
        <v>0.48474999999999996</v>
      </c>
      <c r="R34" s="17">
        <f t="shared" si="10"/>
        <v>0</v>
      </c>
      <c r="S34" s="17">
        <f t="shared" si="10"/>
        <v>0</v>
      </c>
      <c r="T34" s="17">
        <f t="shared" si="10"/>
        <v>0</v>
      </c>
      <c r="U34" s="17">
        <f t="shared" si="10"/>
        <v>0</v>
      </c>
      <c r="V34" s="17">
        <f t="shared" si="10"/>
        <v>0</v>
      </c>
      <c r="W34" s="17">
        <f t="shared" si="10"/>
        <v>0</v>
      </c>
      <c r="X34" s="17">
        <f t="shared" si="10"/>
        <v>0.27</v>
      </c>
      <c r="Y34" s="17">
        <f t="shared" si="10"/>
        <v>0.35259999999999991</v>
      </c>
      <c r="Z34" cm="1">
        <f t="array" ref="Z34">SUM(ABS(B34:Y34))</f>
        <v>34.585466000000004</v>
      </c>
    </row>
    <row r="35" spans="1:26" x14ac:dyDescent="0.2">
      <c r="A35" s="1" t="s">
        <v>10</v>
      </c>
      <c r="B35" s="17">
        <f t="shared" si="1"/>
        <v>1.1581459999999999</v>
      </c>
      <c r="C35" s="17">
        <f t="shared" si="1"/>
        <v>14.128199999999998</v>
      </c>
      <c r="D35" s="17">
        <f t="shared" ref="D35:Y35" si="11">D$24*D18</f>
        <v>5.9607000000000001</v>
      </c>
      <c r="E35" s="17">
        <f t="shared" si="11"/>
        <v>6.9300000000000006</v>
      </c>
      <c r="F35" s="17">
        <f t="shared" si="11"/>
        <v>0.29599999999999999</v>
      </c>
      <c r="G35" s="17">
        <f t="shared" si="11"/>
        <v>3.6480000000000001</v>
      </c>
      <c r="H35" s="17">
        <f t="shared" si="11"/>
        <v>3.2000000000000001E-2</v>
      </c>
      <c r="I35" s="17">
        <f t="shared" si="11"/>
        <v>-2.4E-2</v>
      </c>
      <c r="J35" s="17">
        <f t="shared" si="11"/>
        <v>0.32400000000000001</v>
      </c>
      <c r="K35" s="17">
        <f t="shared" si="11"/>
        <v>1.2050000000000001</v>
      </c>
      <c r="L35" s="17">
        <f t="shared" si="11"/>
        <v>9.1499999999999998E-2</v>
      </c>
      <c r="M35" s="17">
        <f t="shared" si="11"/>
        <v>0.57189999999999996</v>
      </c>
      <c r="N35" s="17">
        <f t="shared" si="11"/>
        <v>1.7302999999999999</v>
      </c>
      <c r="O35" s="17">
        <f t="shared" si="11"/>
        <v>0</v>
      </c>
      <c r="P35" s="17">
        <f t="shared" si="11"/>
        <v>0.77600000000000002</v>
      </c>
      <c r="Q35" s="17">
        <f t="shared" si="11"/>
        <v>3.79365</v>
      </c>
      <c r="R35" s="17">
        <f t="shared" si="11"/>
        <v>0</v>
      </c>
      <c r="S35" s="17">
        <f t="shared" si="11"/>
        <v>0</v>
      </c>
      <c r="T35" s="17">
        <f t="shared" si="11"/>
        <v>0</v>
      </c>
      <c r="U35" s="17">
        <f t="shared" si="11"/>
        <v>0</v>
      </c>
      <c r="V35" s="17">
        <f t="shared" si="11"/>
        <v>0</v>
      </c>
      <c r="W35" s="17">
        <f t="shared" si="11"/>
        <v>0</v>
      </c>
      <c r="X35" s="17">
        <f t="shared" si="11"/>
        <v>0.314</v>
      </c>
      <c r="Y35" s="17">
        <f t="shared" si="11"/>
        <v>0.38539999999999996</v>
      </c>
      <c r="Z35" cm="1">
        <f t="array" ref="Z35">SUM(ABS(B35:Y35))</f>
        <v>41.368795999999996</v>
      </c>
    </row>
    <row r="36" spans="1:26" x14ac:dyDescent="0.2">
      <c r="A36" s="1" t="s">
        <v>11</v>
      </c>
      <c r="B36" s="17">
        <f t="shared" si="1"/>
        <v>1.1377739999999998</v>
      </c>
      <c r="C36" s="17">
        <f t="shared" si="1"/>
        <v>14.604149999999999</v>
      </c>
      <c r="D36" s="17">
        <f t="shared" ref="D36:Y36" si="12">D$24*D19</f>
        <v>5.7242700000000006</v>
      </c>
      <c r="E36" s="17">
        <f t="shared" si="12"/>
        <v>6.63</v>
      </c>
      <c r="F36" s="17">
        <f t="shared" si="12"/>
        <v>0.222</v>
      </c>
      <c r="G36" s="17">
        <f t="shared" si="12"/>
        <v>4.1040000000000001</v>
      </c>
      <c r="H36" s="17">
        <f t="shared" si="12"/>
        <v>-8.0000000000000002E-3</v>
      </c>
      <c r="I36" s="17">
        <f t="shared" si="12"/>
        <v>-0.03</v>
      </c>
      <c r="J36" s="17">
        <f t="shared" si="12"/>
        <v>0.252</v>
      </c>
      <c r="K36" s="17">
        <f t="shared" si="12"/>
        <v>1.1839999999999999</v>
      </c>
      <c r="L36" s="17">
        <f t="shared" si="12"/>
        <v>8.7000000000000008E-2</v>
      </c>
      <c r="M36" s="17">
        <f t="shared" si="12"/>
        <v>0.51600000000000001</v>
      </c>
      <c r="N36" s="17">
        <f t="shared" si="12"/>
        <v>1.7732000000000001</v>
      </c>
      <c r="O36" s="17">
        <f t="shared" si="12"/>
        <v>0</v>
      </c>
      <c r="P36" s="17">
        <f t="shared" si="12"/>
        <v>0.73299999999999998</v>
      </c>
      <c r="Q36" s="17">
        <f t="shared" si="12"/>
        <v>4.2402499999999996</v>
      </c>
      <c r="R36" s="17">
        <f t="shared" si="12"/>
        <v>0</v>
      </c>
      <c r="S36" s="17">
        <f t="shared" si="12"/>
        <v>0</v>
      </c>
      <c r="T36" s="17">
        <f t="shared" si="12"/>
        <v>0</v>
      </c>
      <c r="U36" s="17">
        <f t="shared" si="12"/>
        <v>0</v>
      </c>
      <c r="V36" s="17">
        <f t="shared" si="12"/>
        <v>0</v>
      </c>
      <c r="W36" s="17">
        <f t="shared" si="12"/>
        <v>0</v>
      </c>
      <c r="X36" s="17">
        <f t="shared" si="12"/>
        <v>0.29799999999999999</v>
      </c>
      <c r="Y36" s="17">
        <f t="shared" si="12"/>
        <v>0.37719999999999998</v>
      </c>
      <c r="Z36" cm="1">
        <f t="array" ref="Z36">SUM(ABS(B36:Y36))</f>
        <v>41.920844000000017</v>
      </c>
    </row>
    <row r="38" spans="1:26" x14ac:dyDescent="0.2">
      <c r="B38" s="1" t="s">
        <v>19</v>
      </c>
      <c r="C38" s="1" t="s">
        <v>20</v>
      </c>
      <c r="D38" s="1" t="s">
        <v>21</v>
      </c>
      <c r="E38" s="1" t="s">
        <v>23</v>
      </c>
      <c r="F38" s="1" t="s">
        <v>22</v>
      </c>
      <c r="G38" s="1" t="s">
        <v>24</v>
      </c>
      <c r="H38" s="1" t="s">
        <v>25</v>
      </c>
      <c r="I38" s="1" t="s">
        <v>26</v>
      </c>
      <c r="J38" s="1" t="s">
        <v>27</v>
      </c>
      <c r="K38" s="1" t="s">
        <v>28</v>
      </c>
      <c r="L38" s="1" t="s">
        <v>29</v>
      </c>
      <c r="M38" s="1" t="s">
        <v>30</v>
      </c>
      <c r="N38" s="1" t="s">
        <v>31</v>
      </c>
      <c r="O38" s="1" t="s">
        <v>32</v>
      </c>
      <c r="P38" s="1" t="s">
        <v>33</v>
      </c>
      <c r="Q38" s="1" t="s">
        <v>34</v>
      </c>
      <c r="R38" s="1" t="s">
        <v>35</v>
      </c>
      <c r="S38" s="1" t="s">
        <v>36</v>
      </c>
      <c r="T38" s="1" t="s">
        <v>37</v>
      </c>
      <c r="U38" s="1" t="s">
        <v>38</v>
      </c>
      <c r="V38" s="1" t="s">
        <v>39</v>
      </c>
      <c r="W38" s="1" t="s">
        <v>40</v>
      </c>
      <c r="X38" s="1" t="s">
        <v>41</v>
      </c>
      <c r="Y38" s="1" t="s">
        <v>42</v>
      </c>
    </row>
    <row r="39" spans="1:26" x14ac:dyDescent="0.2">
      <c r="A39" s="1" t="s">
        <v>0</v>
      </c>
      <c r="B39">
        <f>ABS(B25/$Z25)</f>
        <v>6.5209865387166763E-2</v>
      </c>
      <c r="C39">
        <f>ABS(C25/$Z25)</f>
        <v>0.48663153016523347</v>
      </c>
      <c r="D39">
        <f t="shared" ref="D39:Y39" si="13">ABS(D25/$Z25)</f>
        <v>0.25178154465716424</v>
      </c>
      <c r="E39">
        <f t="shared" si="13"/>
        <v>3.8144857290234077E-2</v>
      </c>
      <c r="F39">
        <f t="shared" si="13"/>
        <v>1.1316024478973674E-2</v>
      </c>
      <c r="G39">
        <f t="shared" si="13"/>
        <v>4.1967838533130589E-2</v>
      </c>
      <c r="H39">
        <f t="shared" si="13"/>
        <v>1.8123762929287165E-3</v>
      </c>
      <c r="I39">
        <f t="shared" si="13"/>
        <v>1.0364526925186097E-3</v>
      </c>
      <c r="J39">
        <f t="shared" si="13"/>
        <v>2.3821420900181814E-2</v>
      </c>
      <c r="K39">
        <f t="shared" si="13"/>
        <v>1.3680609173654107E-2</v>
      </c>
      <c r="L39">
        <f t="shared" si="13"/>
        <v>1.9284816491944626E-3</v>
      </c>
      <c r="M39">
        <f t="shared" si="13"/>
        <v>1.2079487992369894E-2</v>
      </c>
      <c r="N39">
        <f t="shared" si="13"/>
        <v>2.8225212108202828E-2</v>
      </c>
      <c r="O39">
        <f t="shared" si="13"/>
        <v>0</v>
      </c>
      <c r="P39">
        <f t="shared" si="13"/>
        <v>2.3985667501728479E-3</v>
      </c>
      <c r="Q39">
        <f t="shared" si="13"/>
        <v>5.6326672897654114E-3</v>
      </c>
      <c r="R39">
        <f t="shared" si="13"/>
        <v>0</v>
      </c>
      <c r="S39">
        <f t="shared" si="13"/>
        <v>0</v>
      </c>
      <c r="T39">
        <f t="shared" si="13"/>
        <v>0</v>
      </c>
      <c r="U39">
        <f t="shared" si="13"/>
        <v>0</v>
      </c>
      <c r="V39">
        <f t="shared" si="13"/>
        <v>0</v>
      </c>
      <c r="W39">
        <f t="shared" si="13"/>
        <v>0</v>
      </c>
      <c r="X39">
        <f t="shared" si="13"/>
        <v>7.2041957643916481E-3</v>
      </c>
      <c r="Y39">
        <f t="shared" si="13"/>
        <v>7.1288688747167973E-3</v>
      </c>
      <c r="Z39" cm="1">
        <f t="array" ref="Z39">SUM(ABS(B39:Y39))</f>
        <v>0.99999999999999989</v>
      </c>
    </row>
    <row r="40" spans="1:26" x14ac:dyDescent="0.2">
      <c r="A40" s="1" t="s">
        <v>1</v>
      </c>
      <c r="B40">
        <f t="shared" ref="B40:C50" si="14">ABS(B26/$Z26)</f>
        <v>5.338377257133739E-2</v>
      </c>
      <c r="C40">
        <f t="shared" si="14"/>
        <v>0.51548254128659954</v>
      </c>
      <c r="D40">
        <f t="shared" ref="D40:Y40" si="15">ABS(D26/$Z26)</f>
        <v>0.2522982208866314</v>
      </c>
      <c r="E40">
        <f t="shared" si="15"/>
        <v>3.7497008217429455E-2</v>
      </c>
      <c r="F40">
        <f t="shared" si="15"/>
        <v>9.8396404542190775E-3</v>
      </c>
      <c r="G40">
        <f t="shared" si="15"/>
        <v>3.4864239555354622E-2</v>
      </c>
      <c r="H40">
        <f t="shared" si="15"/>
        <v>1.0637449139696302E-3</v>
      </c>
      <c r="I40">
        <f t="shared" si="15"/>
        <v>1.0371512911203893E-3</v>
      </c>
      <c r="J40">
        <f t="shared" si="15"/>
        <v>2.0743025822407786E-2</v>
      </c>
      <c r="K40">
        <f t="shared" si="15"/>
        <v>1.4599898944233173E-2</v>
      </c>
      <c r="L40">
        <f t="shared" si="15"/>
        <v>1.834959976597612E-3</v>
      </c>
      <c r="M40">
        <f t="shared" si="15"/>
        <v>9.8343217296492282E-3</v>
      </c>
      <c r="N40">
        <f t="shared" si="15"/>
        <v>2.5099061245113422E-2</v>
      </c>
      <c r="O40">
        <f t="shared" si="15"/>
        <v>0</v>
      </c>
      <c r="P40">
        <f t="shared" si="15"/>
        <v>4.0688242959338351E-3</v>
      </c>
      <c r="Q40">
        <f t="shared" si="15"/>
        <v>4.8493471265590509E-3</v>
      </c>
      <c r="R40">
        <f t="shared" si="15"/>
        <v>0</v>
      </c>
      <c r="S40">
        <f t="shared" si="15"/>
        <v>0</v>
      </c>
      <c r="T40">
        <f t="shared" si="15"/>
        <v>0</v>
      </c>
      <c r="U40">
        <f t="shared" si="15"/>
        <v>0</v>
      </c>
      <c r="V40">
        <f t="shared" si="15"/>
        <v>0</v>
      </c>
      <c r="W40">
        <f t="shared" si="15"/>
        <v>0</v>
      </c>
      <c r="X40">
        <f t="shared" si="15"/>
        <v>7.1802781692950034E-3</v>
      </c>
      <c r="Y40">
        <f t="shared" si="15"/>
        <v>6.3239635135494505E-3</v>
      </c>
      <c r="Z40" cm="1">
        <f t="array" ref="Z40">SUM(ABS(B40:Y40))</f>
        <v>1.0000000000000002</v>
      </c>
    </row>
    <row r="41" spans="1:26" x14ac:dyDescent="0.2">
      <c r="A41" s="1" t="s">
        <v>2</v>
      </c>
      <c r="B41">
        <f t="shared" si="14"/>
        <v>4.4950390203316377E-2</v>
      </c>
      <c r="C41">
        <f t="shared" si="14"/>
        <v>0.55666821041860415</v>
      </c>
      <c r="D41">
        <f t="shared" ref="D41:Y41" si="16">ABS(D27/$Z27)</f>
        <v>0.2306952477224776</v>
      </c>
      <c r="E41">
        <f t="shared" si="16"/>
        <v>3.45342767609381E-2</v>
      </c>
      <c r="F41">
        <f t="shared" si="16"/>
        <v>7.7440499403315741E-3</v>
      </c>
      <c r="G41">
        <f t="shared" si="16"/>
        <v>3.2807562922891192E-2</v>
      </c>
      <c r="H41">
        <f t="shared" si="16"/>
        <v>1.0464932351799425E-3</v>
      </c>
      <c r="I41">
        <f t="shared" si="16"/>
        <v>8.6335691902345252E-4</v>
      </c>
      <c r="J41">
        <f t="shared" si="16"/>
        <v>1.9150826203792947E-2</v>
      </c>
      <c r="K41">
        <f t="shared" si="16"/>
        <v>1.5592749204181142E-2</v>
      </c>
      <c r="L41">
        <f t="shared" si="16"/>
        <v>1.5304963564506658E-3</v>
      </c>
      <c r="M41">
        <f t="shared" si="16"/>
        <v>8.7748457769838174E-3</v>
      </c>
      <c r="N41">
        <f t="shared" si="16"/>
        <v>2.2447279894609765E-2</v>
      </c>
      <c r="O41">
        <f t="shared" si="16"/>
        <v>0</v>
      </c>
      <c r="P41">
        <f t="shared" si="16"/>
        <v>5.2324661758997122E-3</v>
      </c>
      <c r="Q41">
        <f t="shared" si="16"/>
        <v>5.4666190372712233E-3</v>
      </c>
      <c r="R41">
        <f t="shared" si="16"/>
        <v>0</v>
      </c>
      <c r="S41">
        <f t="shared" si="16"/>
        <v>0</v>
      </c>
      <c r="T41">
        <f t="shared" si="16"/>
        <v>0</v>
      </c>
      <c r="U41">
        <f t="shared" si="16"/>
        <v>0</v>
      </c>
      <c r="V41">
        <f t="shared" si="16"/>
        <v>0</v>
      </c>
      <c r="W41">
        <f t="shared" si="16"/>
        <v>0</v>
      </c>
      <c r="X41">
        <f t="shared" si="16"/>
        <v>6.4882580581156427E-3</v>
      </c>
      <c r="Y41">
        <f t="shared" si="16"/>
        <v>6.0068711699328694E-3</v>
      </c>
      <c r="Z41" cm="1">
        <f t="array" ref="Z41">SUM(ABS(B41:Y41))</f>
        <v>1.0000000000000002</v>
      </c>
    </row>
    <row r="42" spans="1:26" x14ac:dyDescent="0.2">
      <c r="A42" s="1" t="s">
        <v>3</v>
      </c>
      <c r="B42">
        <f t="shared" si="14"/>
        <v>4.4546741862618755E-2</v>
      </c>
      <c r="C42">
        <f t="shared" si="14"/>
        <v>0.42759388944198651</v>
      </c>
      <c r="D42">
        <f t="shared" ref="D42:Y42" si="17">ABS(D28/$Z28)</f>
        <v>0.21078526274503817</v>
      </c>
      <c r="E42">
        <f t="shared" si="17"/>
        <v>0.15639551691253714</v>
      </c>
      <c r="F42">
        <f t="shared" si="17"/>
        <v>1.0540317168968805E-2</v>
      </c>
      <c r="G42">
        <f t="shared" si="17"/>
        <v>4.5465800545065445E-2</v>
      </c>
      <c r="H42">
        <f t="shared" si="17"/>
        <v>9.1159499839730206E-4</v>
      </c>
      <c r="I42">
        <f t="shared" si="17"/>
        <v>8.5462031099747067E-4</v>
      </c>
      <c r="J42">
        <f t="shared" si="17"/>
        <v>1.3673924975959532E-3</v>
      </c>
      <c r="K42">
        <f t="shared" si="17"/>
        <v>2.3217185115431287E-2</v>
      </c>
      <c r="L42">
        <f t="shared" si="17"/>
        <v>5.9823421769822957E-4</v>
      </c>
      <c r="M42">
        <f t="shared" si="17"/>
        <v>6.8597523629396976E-3</v>
      </c>
      <c r="N42">
        <f t="shared" si="17"/>
        <v>2.3627402864710077E-2</v>
      </c>
      <c r="O42">
        <f t="shared" si="17"/>
        <v>0</v>
      </c>
      <c r="P42">
        <f t="shared" si="17"/>
        <v>1.8260387311645958E-2</v>
      </c>
      <c r="Q42">
        <f t="shared" si="17"/>
        <v>1.0499010520603926E-2</v>
      </c>
      <c r="R42">
        <f t="shared" si="17"/>
        <v>0</v>
      </c>
      <c r="S42">
        <f t="shared" si="17"/>
        <v>0</v>
      </c>
      <c r="T42">
        <f t="shared" si="17"/>
        <v>0</v>
      </c>
      <c r="U42">
        <f t="shared" si="17"/>
        <v>0</v>
      </c>
      <c r="V42">
        <f t="shared" si="17"/>
        <v>0</v>
      </c>
      <c r="W42">
        <f t="shared" si="17"/>
        <v>0</v>
      </c>
      <c r="X42">
        <f t="shared" si="17"/>
        <v>8.432253735175043E-3</v>
      </c>
      <c r="Y42">
        <f t="shared" si="17"/>
        <v>1.004463738859027E-2</v>
      </c>
      <c r="Z42" cm="1">
        <f t="array" ref="Z42">SUM(ABS(B42:Y42))</f>
        <v>1</v>
      </c>
    </row>
    <row r="43" spans="1:26" x14ac:dyDescent="0.2">
      <c r="A43" s="1" t="s">
        <v>4</v>
      </c>
      <c r="B43">
        <f t="shared" si="14"/>
        <v>4.4937991766300957E-2</v>
      </c>
      <c r="C43">
        <f t="shared" si="14"/>
        <v>0.40543231225934678</v>
      </c>
      <c r="D43">
        <f t="shared" ref="D43:Y43" si="18">ABS(D29/$Z29)</f>
        <v>0.21202707974677107</v>
      </c>
      <c r="E43">
        <f t="shared" si="18"/>
        <v>0.16276784568574779</v>
      </c>
      <c r="F43">
        <f t="shared" si="18"/>
        <v>1.2745841884386599E-2</v>
      </c>
      <c r="G43">
        <f t="shared" si="18"/>
        <v>5.3997586902097279E-2</v>
      </c>
      <c r="H43">
        <f t="shared" si="18"/>
        <v>5.5117154094644757E-3</v>
      </c>
      <c r="I43">
        <f t="shared" si="18"/>
        <v>4.3060276636441212E-4</v>
      </c>
      <c r="J43">
        <f t="shared" si="18"/>
        <v>3.1003399178237668E-3</v>
      </c>
      <c r="K43">
        <f t="shared" si="18"/>
        <v>2.2821946617313845E-2</v>
      </c>
      <c r="L43">
        <f t="shared" si="18"/>
        <v>6.8896442618305946E-4</v>
      </c>
      <c r="M43">
        <f t="shared" si="18"/>
        <v>5.6782151457920472E-3</v>
      </c>
      <c r="N43">
        <f t="shared" si="18"/>
        <v>1.9293874618234761E-2</v>
      </c>
      <c r="O43">
        <f t="shared" si="18"/>
        <v>0</v>
      </c>
      <c r="P43">
        <f t="shared" si="18"/>
        <v>1.9405831337489507E-2</v>
      </c>
      <c r="Q43">
        <f t="shared" si="18"/>
        <v>1.3051569848505329E-2</v>
      </c>
      <c r="R43">
        <f t="shared" si="18"/>
        <v>0</v>
      </c>
      <c r="S43">
        <f t="shared" si="18"/>
        <v>0</v>
      </c>
      <c r="T43">
        <f t="shared" si="18"/>
        <v>0</v>
      </c>
      <c r="U43">
        <f t="shared" si="18"/>
        <v>0</v>
      </c>
      <c r="V43">
        <f t="shared" si="18"/>
        <v>0</v>
      </c>
      <c r="W43">
        <f t="shared" si="18"/>
        <v>0</v>
      </c>
      <c r="X43">
        <f t="shared" si="18"/>
        <v>7.7508497945594189E-3</v>
      </c>
      <c r="Y43">
        <f t="shared" si="18"/>
        <v>1.0357431873618659E-2</v>
      </c>
      <c r="Z43" cm="1">
        <f t="array" ref="Z43">SUM(ABS(B43:Y43))</f>
        <v>0.99999999999999989</v>
      </c>
    </row>
    <row r="44" spans="1:26" x14ac:dyDescent="0.2">
      <c r="A44" s="1" t="s">
        <v>5</v>
      </c>
      <c r="B44">
        <f t="shared" si="14"/>
        <v>2.7777518896076041E-2</v>
      </c>
      <c r="C44">
        <f t="shared" si="14"/>
        <v>0.35365351595055677</v>
      </c>
      <c r="D44">
        <f t="shared" ref="D44:Y44" si="19">ABS(D30/$Z30)</f>
        <v>0.14946730463402189</v>
      </c>
      <c r="E44">
        <f t="shared" si="19"/>
        <v>0.2110470440696893</v>
      </c>
      <c r="F44">
        <f t="shared" si="19"/>
        <v>2.0022411873278214E-2</v>
      </c>
      <c r="G44">
        <f t="shared" si="19"/>
        <v>5.4836155040329529E-2</v>
      </c>
      <c r="H44">
        <f t="shared" si="19"/>
        <v>3.6076417789690477E-3</v>
      </c>
      <c r="I44">
        <f t="shared" si="19"/>
        <v>9.01910444742262E-5</v>
      </c>
      <c r="J44">
        <f t="shared" si="19"/>
        <v>1.9120501428535955E-2</v>
      </c>
      <c r="K44">
        <f t="shared" si="19"/>
        <v>3.5354889433896669E-2</v>
      </c>
      <c r="L44">
        <f t="shared" si="19"/>
        <v>3.6076417789690477E-3</v>
      </c>
      <c r="M44">
        <f t="shared" si="19"/>
        <v>2.3010741813524242E-2</v>
      </c>
      <c r="N44">
        <f t="shared" si="19"/>
        <v>4.5140617759350209E-2</v>
      </c>
      <c r="O44">
        <f t="shared" si="19"/>
        <v>0</v>
      </c>
      <c r="P44">
        <f t="shared" si="19"/>
        <v>2.5283556134274743E-2</v>
      </c>
      <c r="Q44">
        <f t="shared" si="19"/>
        <v>7.681270621054931E-3</v>
      </c>
      <c r="R44">
        <f t="shared" si="19"/>
        <v>0</v>
      </c>
      <c r="S44">
        <f t="shared" si="19"/>
        <v>0</v>
      </c>
      <c r="T44">
        <f t="shared" si="19"/>
        <v>0</v>
      </c>
      <c r="U44">
        <f t="shared" si="19"/>
        <v>0</v>
      </c>
      <c r="V44">
        <f t="shared" si="19"/>
        <v>0</v>
      </c>
      <c r="W44">
        <f t="shared" si="19"/>
        <v>0</v>
      </c>
      <c r="X44">
        <f t="shared" si="19"/>
        <v>8.9589770844398023E-3</v>
      </c>
      <c r="Y44">
        <f t="shared" si="19"/>
        <v>1.1340020658559373E-2</v>
      </c>
      <c r="Z44" cm="1">
        <f t="array" ref="Z44">SUM(ABS(B44:Y44))</f>
        <v>0.99999999999999989</v>
      </c>
    </row>
    <row r="45" spans="1:26" x14ac:dyDescent="0.2">
      <c r="A45" s="1" t="s">
        <v>6</v>
      </c>
      <c r="B45">
        <f t="shared" si="14"/>
        <v>2.4031360970738599E-2</v>
      </c>
      <c r="C45">
        <f t="shared" si="14"/>
        <v>0.32475297593777486</v>
      </c>
      <c r="D45">
        <f t="shared" ref="D45:Y45" si="20">ABS(D31/$Z31)</f>
        <v>0.13169680887852755</v>
      </c>
      <c r="E45">
        <f t="shared" si="20"/>
        <v>0.22773240935828382</v>
      </c>
      <c r="F45">
        <f t="shared" si="20"/>
        <v>2.3116870085751716E-2</v>
      </c>
      <c r="G45">
        <f t="shared" si="20"/>
        <v>6.4102455967516916E-2</v>
      </c>
      <c r="H45">
        <f t="shared" si="20"/>
        <v>3.2488574174569977E-3</v>
      </c>
      <c r="I45">
        <f t="shared" si="20"/>
        <v>0</v>
      </c>
      <c r="J45">
        <f t="shared" si="20"/>
        <v>2.4178996549151122E-2</v>
      </c>
      <c r="K45">
        <f t="shared" si="20"/>
        <v>3.6081060741950312E-2</v>
      </c>
      <c r="L45">
        <f t="shared" si="20"/>
        <v>4.2641253604123099E-3</v>
      </c>
      <c r="M45">
        <f t="shared" si="20"/>
        <v>2.6999879479885421E-2</v>
      </c>
      <c r="N45">
        <f t="shared" si="20"/>
        <v>5.4052865282940801E-2</v>
      </c>
      <c r="O45">
        <f t="shared" si="20"/>
        <v>0</v>
      </c>
      <c r="P45">
        <f t="shared" si="20"/>
        <v>2.7115463830314174E-2</v>
      </c>
      <c r="Q45">
        <f t="shared" si="20"/>
        <v>8.1018381847833883E-3</v>
      </c>
      <c r="R45">
        <f t="shared" si="20"/>
        <v>0</v>
      </c>
      <c r="S45">
        <f t="shared" si="20"/>
        <v>0</v>
      </c>
      <c r="T45">
        <f t="shared" si="20"/>
        <v>0</v>
      </c>
      <c r="U45">
        <f t="shared" si="20"/>
        <v>0</v>
      </c>
      <c r="V45">
        <f t="shared" si="20"/>
        <v>0</v>
      </c>
      <c r="W45">
        <f t="shared" si="20"/>
        <v>0</v>
      </c>
      <c r="X45">
        <f t="shared" si="20"/>
        <v>8.9968359252655325E-3</v>
      </c>
      <c r="Y45">
        <f t="shared" si="20"/>
        <v>1.1527196029246463E-2</v>
      </c>
      <c r="Z45" cm="1">
        <f t="array" ref="Z45">SUM(ABS(B45:Y45))</f>
        <v>1</v>
      </c>
    </row>
    <row r="46" spans="1:26" x14ac:dyDescent="0.2">
      <c r="A46" s="1" t="s">
        <v>7</v>
      </c>
      <c r="B46">
        <f t="shared" si="14"/>
        <v>3.1713629483982334E-2</v>
      </c>
      <c r="C46">
        <f t="shared" si="14"/>
        <v>0.39515336726602396</v>
      </c>
      <c r="D46">
        <f t="shared" ref="D46:Y46" si="21">ABS(D32/$Z32)</f>
        <v>0.16737209380634868</v>
      </c>
      <c r="E46">
        <f t="shared" si="21"/>
        <v>0.18157004609238156</v>
      </c>
      <c r="F46">
        <f t="shared" si="21"/>
        <v>1.4250497556947524E-2</v>
      </c>
      <c r="G46">
        <f t="shared" si="21"/>
        <v>5.8019882910429199E-2</v>
      </c>
      <c r="H46">
        <f t="shared" si="21"/>
        <v>3.9615282783792343E-3</v>
      </c>
      <c r="I46">
        <f t="shared" si="21"/>
        <v>0</v>
      </c>
      <c r="J46">
        <f t="shared" si="21"/>
        <v>1.039901173074549E-2</v>
      </c>
      <c r="K46">
        <f t="shared" si="21"/>
        <v>3.249003400531858E-2</v>
      </c>
      <c r="L46">
        <f t="shared" si="21"/>
        <v>2.8473484500850751E-3</v>
      </c>
      <c r="M46">
        <f t="shared" si="21"/>
        <v>1.6561389052668744E-2</v>
      </c>
      <c r="N46">
        <f t="shared" si="21"/>
        <v>3.3045748388813447E-2</v>
      </c>
      <c r="O46">
        <f t="shared" si="21"/>
        <v>0</v>
      </c>
      <c r="P46">
        <f t="shared" si="21"/>
        <v>2.1815916144130091E-2</v>
      </c>
      <c r="Q46">
        <f t="shared" si="21"/>
        <v>1.1833690201005748E-2</v>
      </c>
      <c r="R46">
        <f t="shared" si="21"/>
        <v>0</v>
      </c>
      <c r="S46">
        <f t="shared" si="21"/>
        <v>0</v>
      </c>
      <c r="T46">
        <f t="shared" si="21"/>
        <v>0</v>
      </c>
      <c r="U46">
        <f t="shared" si="21"/>
        <v>0</v>
      </c>
      <c r="V46">
        <f t="shared" si="21"/>
        <v>0</v>
      </c>
      <c r="W46">
        <f t="shared" si="21"/>
        <v>0</v>
      </c>
      <c r="X46">
        <f t="shared" si="21"/>
        <v>8.3632263654672724E-3</v>
      </c>
      <c r="Y46">
        <f t="shared" si="21"/>
        <v>1.0602590267273311E-2</v>
      </c>
      <c r="Z46" cm="1">
        <f t="array" ref="Z46">SUM(ABS(B46:Y46))</f>
        <v>1.0000000000000004</v>
      </c>
    </row>
    <row r="47" spans="1:26" x14ac:dyDescent="0.2">
      <c r="A47" s="1" t="s">
        <v>8</v>
      </c>
      <c r="B47">
        <f t="shared" si="14"/>
        <v>2.8844018565460202E-2</v>
      </c>
      <c r="C47">
        <f t="shared" si="14"/>
        <v>0.39298771075547184</v>
      </c>
      <c r="D47">
        <f t="shared" ref="D47:Y47" si="22">ABS(D33/$Z33)</f>
        <v>0.15587575203213699</v>
      </c>
      <c r="E47">
        <f t="shared" si="22"/>
        <v>0.18180109838446784</v>
      </c>
      <c r="F47">
        <f t="shared" si="22"/>
        <v>1.2573160075187497E-2</v>
      </c>
      <c r="G47">
        <f t="shared" si="22"/>
        <v>6.617899796331797E-2</v>
      </c>
      <c r="H47">
        <f t="shared" si="22"/>
        <v>2.94506452211599E-3</v>
      </c>
      <c r="I47">
        <f t="shared" si="22"/>
        <v>1.6990756858361483E-4</v>
      </c>
      <c r="J47">
        <f t="shared" si="22"/>
        <v>1.1043991957934964E-2</v>
      </c>
      <c r="K47">
        <f t="shared" si="22"/>
        <v>3.2055894606108658E-2</v>
      </c>
      <c r="L47">
        <f t="shared" si="22"/>
        <v>2.8034748816296445E-3</v>
      </c>
      <c r="M47">
        <f t="shared" si="22"/>
        <v>1.656032435128299E-2</v>
      </c>
      <c r="N47">
        <f t="shared" si="22"/>
        <v>4.2114422666258658E-2</v>
      </c>
      <c r="O47">
        <f t="shared" si="22"/>
        <v>0</v>
      </c>
      <c r="P47">
        <f t="shared" si="22"/>
        <v>2.1861440491091774E-2</v>
      </c>
      <c r="Q47">
        <f t="shared" si="22"/>
        <v>1.3925341141832097E-2</v>
      </c>
      <c r="R47">
        <f t="shared" si="22"/>
        <v>0</v>
      </c>
      <c r="S47">
        <f t="shared" si="22"/>
        <v>0</v>
      </c>
      <c r="T47">
        <f t="shared" si="22"/>
        <v>0</v>
      </c>
      <c r="U47">
        <f t="shared" si="22"/>
        <v>0</v>
      </c>
      <c r="V47">
        <f t="shared" si="22"/>
        <v>0</v>
      </c>
      <c r="W47">
        <f t="shared" si="22"/>
        <v>0</v>
      </c>
      <c r="X47">
        <f t="shared" si="22"/>
        <v>8.0422915796244335E-3</v>
      </c>
      <c r="Y47">
        <f t="shared" si="22"/>
        <v>1.0217108457494703E-2</v>
      </c>
      <c r="Z47" cm="1">
        <f t="array" ref="Z47">SUM(ABS(B47:Y47))</f>
        <v>0.99999999999999978</v>
      </c>
    </row>
    <row r="48" spans="1:26" x14ac:dyDescent="0.2">
      <c r="A48" s="1" t="s">
        <v>9</v>
      </c>
      <c r="B48">
        <f t="shared" si="14"/>
        <v>2.8292693815373193E-2</v>
      </c>
      <c r="C48">
        <f t="shared" si="14"/>
        <v>0.41096366895851566</v>
      </c>
      <c r="D48">
        <f t="shared" ref="D48:Y48" si="23">ABS(D34/$Z34)</f>
        <v>0.15511226594431313</v>
      </c>
      <c r="E48">
        <f t="shared" si="23"/>
        <v>0.17348327762881666</v>
      </c>
      <c r="F48">
        <f t="shared" si="23"/>
        <v>1.0698135453777027E-2</v>
      </c>
      <c r="G48">
        <f t="shared" si="23"/>
        <v>6.427555436147657E-2</v>
      </c>
      <c r="H48">
        <f t="shared" si="23"/>
        <v>3.0070434788994887E-3</v>
      </c>
      <c r="I48">
        <f t="shared" si="23"/>
        <v>8.6741638814408328E-5</v>
      </c>
      <c r="J48">
        <f t="shared" si="23"/>
        <v>9.7150635472137339E-3</v>
      </c>
      <c r="K48">
        <f t="shared" si="23"/>
        <v>3.1776353685678251E-2</v>
      </c>
      <c r="L48">
        <f t="shared" si="23"/>
        <v>2.6889908032466585E-3</v>
      </c>
      <c r="M48">
        <f t="shared" si="23"/>
        <v>1.5541210287581491E-2</v>
      </c>
      <c r="N48">
        <f t="shared" si="23"/>
        <v>4.0106442399821932E-2</v>
      </c>
      <c r="O48">
        <f t="shared" si="23"/>
        <v>0</v>
      </c>
      <c r="P48">
        <f t="shared" si="23"/>
        <v>2.2234773416093336E-2</v>
      </c>
      <c r="Q48">
        <f t="shared" si="23"/>
        <v>1.4016003138428145E-2</v>
      </c>
      <c r="R48">
        <f t="shared" si="23"/>
        <v>0</v>
      </c>
      <c r="S48">
        <f t="shared" si="23"/>
        <v>0</v>
      </c>
      <c r="T48">
        <f t="shared" si="23"/>
        <v>0</v>
      </c>
      <c r="U48">
        <f t="shared" si="23"/>
        <v>0</v>
      </c>
      <c r="V48">
        <f t="shared" si="23"/>
        <v>0</v>
      </c>
      <c r="W48">
        <f t="shared" si="23"/>
        <v>0</v>
      </c>
      <c r="X48">
        <f t="shared" si="23"/>
        <v>7.80674749329675E-3</v>
      </c>
      <c r="Y48">
        <f t="shared" si="23"/>
        <v>1.0195033948653457E-2</v>
      </c>
      <c r="Z48" cm="1">
        <f t="array" ref="Z48">SUM(ABS(B48:Y48))</f>
        <v>1</v>
      </c>
    </row>
    <row r="49" spans="1:26" x14ac:dyDescent="0.2">
      <c r="A49" s="1" t="s">
        <v>10</v>
      </c>
      <c r="B49">
        <f t="shared" si="14"/>
        <v>2.7995641932629607E-2</v>
      </c>
      <c r="C49">
        <f t="shared" si="14"/>
        <v>0.34151827865621226</v>
      </c>
      <c r="D49">
        <f t="shared" ref="D49:Y49" si="24">ABS(D35/$Z35)</f>
        <v>0.14408686199134246</v>
      </c>
      <c r="E49">
        <f t="shared" si="24"/>
        <v>0.16751756565504108</v>
      </c>
      <c r="F49">
        <f t="shared" si="24"/>
        <v>7.155151433462072E-3</v>
      </c>
      <c r="G49">
        <f t="shared" si="24"/>
        <v>8.8182406855640674E-2</v>
      </c>
      <c r="H49">
        <f t="shared" si="24"/>
        <v>7.7352988469860237E-4</v>
      </c>
      <c r="I49">
        <f t="shared" si="24"/>
        <v>5.8014741352395178E-4</v>
      </c>
      <c r="J49">
        <f t="shared" si="24"/>
        <v>7.8319900825733497E-3</v>
      </c>
      <c r="K49">
        <f t="shared" si="24"/>
        <v>2.9128234720681746E-2</v>
      </c>
      <c r="L49">
        <f t="shared" si="24"/>
        <v>2.2118120140600661E-3</v>
      </c>
      <c r="M49">
        <f t="shared" si="24"/>
        <v>1.3824429408097834E-2</v>
      </c>
      <c r="N49">
        <f t="shared" si="24"/>
        <v>4.1826211234187241E-2</v>
      </c>
      <c r="O49">
        <f t="shared" si="24"/>
        <v>0</v>
      </c>
      <c r="P49">
        <f t="shared" si="24"/>
        <v>1.8758099703941107E-2</v>
      </c>
      <c r="Q49">
        <f t="shared" si="24"/>
        <v>9.1703176471464157E-2</v>
      </c>
      <c r="R49">
        <f t="shared" si="24"/>
        <v>0</v>
      </c>
      <c r="S49">
        <f t="shared" si="24"/>
        <v>0</v>
      </c>
      <c r="T49">
        <f t="shared" si="24"/>
        <v>0</v>
      </c>
      <c r="U49">
        <f t="shared" si="24"/>
        <v>0</v>
      </c>
      <c r="V49">
        <f t="shared" si="24"/>
        <v>0</v>
      </c>
      <c r="W49">
        <f t="shared" si="24"/>
        <v>0</v>
      </c>
      <c r="X49">
        <f t="shared" si="24"/>
        <v>7.590261993605036E-3</v>
      </c>
      <c r="Y49">
        <f t="shared" si="24"/>
        <v>9.3162005488387923E-3</v>
      </c>
      <c r="Z49" cm="1">
        <f t="array" ref="Z49">SUM(ABS(B49:Y49))</f>
        <v>1.0000000000000002</v>
      </c>
    </row>
    <row r="50" spans="1:26" x14ac:dyDescent="0.2">
      <c r="A50" s="1" t="s">
        <v>11</v>
      </c>
      <c r="B50">
        <f t="shared" si="14"/>
        <v>2.7141008897626186E-2</v>
      </c>
      <c r="C50">
        <f t="shared" si="14"/>
        <v>0.34837442681258979</v>
      </c>
      <c r="D50">
        <f t="shared" ref="D50:Y50" si="25">ABS(D36/$Z36)</f>
        <v>0.13654949313520498</v>
      </c>
      <c r="E50">
        <f t="shared" si="25"/>
        <v>0.15815521271470578</v>
      </c>
      <c r="F50">
        <f t="shared" si="25"/>
        <v>5.2956949053792881E-3</v>
      </c>
      <c r="G50">
        <f t="shared" si="25"/>
        <v>9.7898792304849547E-2</v>
      </c>
      <c r="H50">
        <f t="shared" si="25"/>
        <v>1.9083585244610048E-4</v>
      </c>
      <c r="I50">
        <f t="shared" si="25"/>
        <v>7.1563444667287679E-4</v>
      </c>
      <c r="J50">
        <f t="shared" si="25"/>
        <v>6.0113293520521653E-3</v>
      </c>
      <c r="K50">
        <f t="shared" si="25"/>
        <v>2.8243706162022871E-2</v>
      </c>
      <c r="L50">
        <f t="shared" si="25"/>
        <v>2.0753398953513428E-3</v>
      </c>
      <c r="M50">
        <f t="shared" si="25"/>
        <v>1.2308912482773481E-2</v>
      </c>
      <c r="N50">
        <f t="shared" si="25"/>
        <v>4.2298766694678178E-2</v>
      </c>
      <c r="O50">
        <f t="shared" si="25"/>
        <v>0</v>
      </c>
      <c r="P50">
        <f t="shared" si="25"/>
        <v>1.7485334980373957E-2</v>
      </c>
      <c r="Q50">
        <f t="shared" si="25"/>
        <v>0.1011489654168222</v>
      </c>
      <c r="R50">
        <f t="shared" si="25"/>
        <v>0</v>
      </c>
      <c r="S50">
        <f t="shared" si="25"/>
        <v>0</v>
      </c>
      <c r="T50">
        <f t="shared" si="25"/>
        <v>0</v>
      </c>
      <c r="U50">
        <f t="shared" si="25"/>
        <v>0</v>
      </c>
      <c r="V50">
        <f t="shared" si="25"/>
        <v>0</v>
      </c>
      <c r="W50">
        <f t="shared" si="25"/>
        <v>0</v>
      </c>
      <c r="X50">
        <f t="shared" si="25"/>
        <v>7.1086355036172428E-3</v>
      </c>
      <c r="Y50">
        <f t="shared" si="25"/>
        <v>8.9979104428336374E-3</v>
      </c>
      <c r="Z50" cm="1">
        <f t="array" ref="Z50">SUM(ABS(B50:Y50))</f>
        <v>0.99999999999999944</v>
      </c>
    </row>
    <row r="52" spans="1:26" x14ac:dyDescent="0.2">
      <c r="A52" t="s">
        <v>56</v>
      </c>
    </row>
    <row r="54" spans="1:26" x14ac:dyDescent="0.2">
      <c r="A54" s="12"/>
      <c r="B54" s="15" t="s">
        <v>0</v>
      </c>
      <c r="C54" s="15" t="s">
        <v>1</v>
      </c>
      <c r="D54" s="15" t="s">
        <v>2</v>
      </c>
      <c r="E54" s="15" t="s">
        <v>3</v>
      </c>
      <c r="F54" s="15" t="s">
        <v>4</v>
      </c>
      <c r="G54" s="15" t="s">
        <v>5</v>
      </c>
      <c r="H54" s="15" t="s">
        <v>6</v>
      </c>
      <c r="I54" s="15" t="s">
        <v>7</v>
      </c>
      <c r="J54" s="15" t="s">
        <v>8</v>
      </c>
      <c r="K54" s="15" t="s">
        <v>9</v>
      </c>
      <c r="L54" s="15" t="s">
        <v>10</v>
      </c>
      <c r="M54" s="15" t="s">
        <v>11</v>
      </c>
    </row>
    <row r="55" spans="1:26" ht="17" x14ac:dyDescent="0.2">
      <c r="A55" s="13" t="s">
        <v>49</v>
      </c>
      <c r="B55" s="16">
        <v>104.67</v>
      </c>
      <c r="C55" s="16">
        <v>91.245000000000005</v>
      </c>
      <c r="D55" s="16">
        <v>78.096999999999994</v>
      </c>
      <c r="E55" s="16">
        <v>71.078999999999994</v>
      </c>
      <c r="F55" s="16">
        <v>71.155000000000001</v>
      </c>
      <c r="G55" s="16">
        <v>41.997999999999998</v>
      </c>
      <c r="H55" s="16">
        <v>34.966999999999999</v>
      </c>
      <c r="I55" s="16">
        <v>52.399000000000001</v>
      </c>
      <c r="J55" s="16">
        <v>46.298999999999999</v>
      </c>
      <c r="K55" s="16">
        <v>44.478000000000002</v>
      </c>
      <c r="L55" s="16">
        <v>52.643000000000001</v>
      </c>
      <c r="M55" s="16">
        <v>51.716999999999999</v>
      </c>
    </row>
    <row r="56" spans="1:26" ht="17" x14ac:dyDescent="0.2">
      <c r="A56" s="13" t="s">
        <v>50</v>
      </c>
      <c r="B56" s="16">
        <v>3.43</v>
      </c>
      <c r="C56" s="16">
        <v>3.8690000000000002</v>
      </c>
      <c r="D56" s="16">
        <v>4.2469999999999999</v>
      </c>
      <c r="E56" s="16">
        <v>2.996</v>
      </c>
      <c r="F56" s="16">
        <v>2.819</v>
      </c>
      <c r="G56" s="16">
        <v>2.3479999999999999</v>
      </c>
      <c r="H56" s="16">
        <v>2.0750000000000002</v>
      </c>
      <c r="I56" s="16">
        <v>2.867</v>
      </c>
      <c r="J56" s="16">
        <v>2.77</v>
      </c>
      <c r="K56" s="16">
        <v>2.8370000000000002</v>
      </c>
      <c r="L56" s="16">
        <v>2.82</v>
      </c>
      <c r="M56" s="16">
        <v>2.915</v>
      </c>
    </row>
    <row r="57" spans="1:26" ht="17" x14ac:dyDescent="0.2">
      <c r="A57" s="13" t="s">
        <v>51</v>
      </c>
      <c r="B57" s="16">
        <v>2.67</v>
      </c>
      <c r="C57" s="16">
        <v>2.8490000000000002</v>
      </c>
      <c r="D57" s="16">
        <v>2.6480000000000001</v>
      </c>
      <c r="E57" s="16">
        <v>2.222</v>
      </c>
      <c r="F57" s="16">
        <v>2.218</v>
      </c>
      <c r="G57" s="16">
        <v>1.4930000000000001</v>
      </c>
      <c r="H57" s="16">
        <v>1.266</v>
      </c>
      <c r="I57" s="16">
        <v>1.827</v>
      </c>
      <c r="J57" s="16">
        <v>1.653</v>
      </c>
      <c r="K57" s="16">
        <v>1.611</v>
      </c>
      <c r="L57" s="16">
        <v>1.79</v>
      </c>
      <c r="M57" s="16">
        <v>1.7190000000000001</v>
      </c>
    </row>
    <row r="58" spans="1:26" ht="17" x14ac:dyDescent="0.2">
      <c r="A58" s="13" t="s">
        <v>23</v>
      </c>
      <c r="B58" s="16">
        <v>4.4900000000000002E-2</v>
      </c>
      <c r="C58" s="16">
        <v>4.7E-2</v>
      </c>
      <c r="D58" s="16">
        <v>4.3999999999999997E-2</v>
      </c>
      <c r="E58" s="16">
        <v>0.183</v>
      </c>
      <c r="F58" s="16">
        <v>0.189</v>
      </c>
      <c r="G58" s="16">
        <v>0.23400000000000001</v>
      </c>
      <c r="H58" s="16">
        <v>0.24299999999999999</v>
      </c>
      <c r="I58" s="16">
        <v>0.22</v>
      </c>
      <c r="J58" s="16">
        <v>0.214</v>
      </c>
      <c r="K58" s="16">
        <v>0.2</v>
      </c>
      <c r="L58" s="16">
        <v>0.23100000000000001</v>
      </c>
      <c r="M58" s="16">
        <v>0.221</v>
      </c>
    </row>
    <row r="59" spans="1:26" ht="17" x14ac:dyDescent="0.2">
      <c r="A59" s="13" t="s">
        <v>22</v>
      </c>
      <c r="B59" s="16">
        <v>5.4000000000000003E-3</v>
      </c>
      <c r="C59" s="16">
        <v>5.0000000000000001E-3</v>
      </c>
      <c r="D59" s="16">
        <v>4.0000000000000001E-3</v>
      </c>
      <c r="E59" s="16">
        <v>-5.0000000000000001E-3</v>
      </c>
      <c r="F59" s="16">
        <v>-6.0000000000000001E-3</v>
      </c>
      <c r="G59" s="16">
        <v>-8.9999999999999993E-3</v>
      </c>
      <c r="H59" s="16">
        <v>-0.01</v>
      </c>
      <c r="I59" s="16">
        <v>-7.0000000000000001E-3</v>
      </c>
      <c r="J59" s="16">
        <v>-6.0000000000000001E-3</v>
      </c>
      <c r="K59" s="16">
        <v>-5.0000000000000001E-3</v>
      </c>
      <c r="L59" s="16">
        <v>-4.0000000000000001E-3</v>
      </c>
      <c r="M59" s="16">
        <v>-3.0000000000000001E-3</v>
      </c>
    </row>
    <row r="60" spans="1:26" ht="20" x14ac:dyDescent="0.2">
      <c r="A60" s="13" t="s">
        <v>55</v>
      </c>
      <c r="B60" s="16">
        <v>-2.5999999999999999E-2</v>
      </c>
      <c r="C60" s="16">
        <v>-2.3E-2</v>
      </c>
      <c r="D60" s="16">
        <v>-2.1999999999999999E-2</v>
      </c>
      <c r="E60" s="16">
        <v>-2.8000000000000001E-2</v>
      </c>
      <c r="F60" s="16">
        <v>-3.3000000000000002E-2</v>
      </c>
      <c r="G60" s="16">
        <v>-3.2000000000000001E-2</v>
      </c>
      <c r="H60" s="16">
        <v>-3.5999999999999997E-2</v>
      </c>
      <c r="I60" s="16">
        <v>-3.6999999999999998E-2</v>
      </c>
      <c r="J60" s="16">
        <v>-4.1000000000000002E-2</v>
      </c>
      <c r="K60" s="16">
        <v>-3.9E-2</v>
      </c>
      <c r="L60" s="16">
        <v>-6.4000000000000001E-2</v>
      </c>
      <c r="M60" s="16">
        <v>-7.1999999999999995E-2</v>
      </c>
    </row>
    <row r="61" spans="1:26" ht="17" x14ac:dyDescent="0.2">
      <c r="A61" s="13" t="s">
        <v>52</v>
      </c>
      <c r="B61" s="16">
        <v>8.0000000000000002E-3</v>
      </c>
      <c r="C61" s="16">
        <v>5.0000000000000001E-3</v>
      </c>
      <c r="D61" s="16">
        <v>5.0000000000000001E-3</v>
      </c>
      <c r="E61" s="16">
        <v>4.0000000000000001E-3</v>
      </c>
      <c r="F61" s="16">
        <v>2.4E-2</v>
      </c>
      <c r="G61" s="16">
        <v>1.4999999999999999E-2</v>
      </c>
      <c r="H61" s="16">
        <v>1.2999999999999999E-2</v>
      </c>
      <c r="I61" s="16">
        <v>1.7999999999999999E-2</v>
      </c>
      <c r="J61" s="16">
        <v>1.2999999999999999E-2</v>
      </c>
      <c r="K61" s="16">
        <v>1.2999999999999999E-2</v>
      </c>
      <c r="L61" s="16">
        <v>4.0000000000000001E-3</v>
      </c>
      <c r="M61" s="16">
        <v>-1E-3</v>
      </c>
    </row>
    <row r="62" spans="1:26" ht="17" x14ac:dyDescent="0.2">
      <c r="A62" s="13" t="s">
        <v>26</v>
      </c>
      <c r="B62" s="16">
        <v>-1.2200000000000001E-2</v>
      </c>
      <c r="C62" s="16">
        <v>-1.2999999999999999E-2</v>
      </c>
      <c r="D62" s="16">
        <v>-1.0999999999999999E-2</v>
      </c>
      <c r="E62" s="16">
        <v>-0.01</v>
      </c>
      <c r="F62" s="16">
        <v>5.0000000000000001E-3</v>
      </c>
      <c r="G62" s="16">
        <v>1E-3</v>
      </c>
      <c r="H62" s="16">
        <v>0</v>
      </c>
      <c r="I62" s="16">
        <v>0</v>
      </c>
      <c r="J62" s="16">
        <v>-2E-3</v>
      </c>
      <c r="K62" s="16">
        <v>-1E-3</v>
      </c>
      <c r="L62" s="16">
        <v>-8.0000000000000002E-3</v>
      </c>
      <c r="M62" s="16">
        <v>-0.01</v>
      </c>
    </row>
    <row r="63" spans="1:26" ht="17" x14ac:dyDescent="0.2">
      <c r="A63" s="13" t="s">
        <v>27</v>
      </c>
      <c r="B63" s="16">
        <v>-0.14019999999999999</v>
      </c>
      <c r="C63" s="16">
        <v>-0.13</v>
      </c>
      <c r="D63" s="16">
        <v>-0.122</v>
      </c>
      <c r="E63" s="16">
        <v>-8.0000000000000002E-3</v>
      </c>
      <c r="F63" s="16">
        <v>-1.7999999999999999E-2</v>
      </c>
      <c r="G63" s="16">
        <v>0.106</v>
      </c>
      <c r="H63" s="16">
        <v>0.129</v>
      </c>
      <c r="I63" s="16">
        <v>6.3E-2</v>
      </c>
      <c r="J63" s="16">
        <v>6.5000000000000002E-2</v>
      </c>
      <c r="K63" s="16">
        <v>5.6000000000000001E-2</v>
      </c>
      <c r="L63" s="16">
        <v>5.3999999999999999E-2</v>
      </c>
      <c r="M63" s="16">
        <v>4.2000000000000003E-2</v>
      </c>
    </row>
    <row r="64" spans="1:26" ht="17" x14ac:dyDescent="0.2">
      <c r="A64" s="13" t="s">
        <v>53</v>
      </c>
      <c r="B64" s="16">
        <v>0.48309999999999997</v>
      </c>
      <c r="C64" s="16">
        <v>0.54900000000000004</v>
      </c>
      <c r="D64" s="16">
        <v>0.59599999999999997</v>
      </c>
      <c r="E64" s="16">
        <v>0.81499999999999995</v>
      </c>
      <c r="F64" s="16">
        <v>0.79500000000000004</v>
      </c>
      <c r="G64" s="16">
        <v>1.1759999999999999</v>
      </c>
      <c r="H64" s="16">
        <v>1.155</v>
      </c>
      <c r="I64" s="16">
        <v>1.181</v>
      </c>
      <c r="J64" s="16">
        <v>1.1319999999999999</v>
      </c>
      <c r="K64" s="16">
        <v>1.099</v>
      </c>
      <c r="L64" s="16">
        <v>1.2050000000000001</v>
      </c>
      <c r="M64" s="16">
        <v>1.1839999999999999</v>
      </c>
    </row>
    <row r="65" spans="1:25" ht="17" x14ac:dyDescent="0.2">
      <c r="A65" s="13" t="s">
        <v>29</v>
      </c>
      <c r="B65" s="16">
        <v>-4.5400000000000003E-2</v>
      </c>
      <c r="C65" s="16">
        <v>-4.5999999999999999E-2</v>
      </c>
      <c r="D65" s="16">
        <v>-3.9E-2</v>
      </c>
      <c r="E65" s="16">
        <v>1.4E-2</v>
      </c>
      <c r="F65" s="16">
        <v>1.6E-2</v>
      </c>
      <c r="G65" s="16">
        <v>0.08</v>
      </c>
      <c r="H65" s="16">
        <v>9.0999999999999998E-2</v>
      </c>
      <c r="I65" s="16">
        <v>6.9000000000000006E-2</v>
      </c>
      <c r="J65" s="16">
        <v>6.6000000000000003E-2</v>
      </c>
      <c r="K65" s="16">
        <v>6.2E-2</v>
      </c>
      <c r="L65" s="16">
        <v>6.0999999999999999E-2</v>
      </c>
      <c r="M65" s="16">
        <v>5.8000000000000003E-2</v>
      </c>
    </row>
    <row r="66" spans="1:25" ht="17" x14ac:dyDescent="0.2">
      <c r="A66" s="13" t="s">
        <v>30</v>
      </c>
      <c r="B66" s="16">
        <v>-9.9199999999999997E-2</v>
      </c>
      <c r="C66" s="16">
        <v>-8.5999999999999993E-2</v>
      </c>
      <c r="D66" s="16">
        <v>-7.8E-2</v>
      </c>
      <c r="E66" s="16">
        <v>5.6000000000000001E-2</v>
      </c>
      <c r="F66" s="16">
        <v>4.5999999999999999E-2</v>
      </c>
      <c r="G66" s="16">
        <v>0.17799999999999999</v>
      </c>
      <c r="H66" s="16">
        <v>0.20100000000000001</v>
      </c>
      <c r="I66" s="16">
        <v>0.14000000000000001</v>
      </c>
      <c r="J66" s="16">
        <v>0.13600000000000001</v>
      </c>
      <c r="K66" s="16">
        <v>0.125</v>
      </c>
      <c r="L66" s="16">
        <v>0.13300000000000001</v>
      </c>
      <c r="M66" s="16">
        <v>0.12</v>
      </c>
    </row>
    <row r="67" spans="1:25" ht="17" x14ac:dyDescent="0.2">
      <c r="A67" s="13" t="s">
        <v>31</v>
      </c>
      <c r="B67" s="16">
        <v>-6.9699999999999998E-2</v>
      </c>
      <c r="C67" s="16">
        <v>-6.6000000000000003E-2</v>
      </c>
      <c r="D67" s="16">
        <v>-0.06</v>
      </c>
      <c r="E67" s="16">
        <v>5.8000000000000003E-2</v>
      </c>
      <c r="F67" s="16">
        <v>4.7E-2</v>
      </c>
      <c r="G67" s="16">
        <v>0.105</v>
      </c>
      <c r="H67" s="16">
        <v>0.121</v>
      </c>
      <c r="I67" s="16">
        <v>8.4000000000000005E-2</v>
      </c>
      <c r="J67" s="16">
        <v>0.104</v>
      </c>
      <c r="K67" s="16">
        <v>9.7000000000000003E-2</v>
      </c>
      <c r="L67" s="16">
        <v>0.121</v>
      </c>
      <c r="M67" s="16">
        <v>0.124</v>
      </c>
    </row>
    <row r="68" spans="1:25" ht="17" x14ac:dyDescent="0.2">
      <c r="A68" s="13" t="s">
        <v>32</v>
      </c>
      <c r="B68" s="16">
        <v>-6.1899999999999997E-2</v>
      </c>
      <c r="C68" s="16">
        <v>-6.4000000000000001E-2</v>
      </c>
      <c r="D68" s="16">
        <v>-6.0999999999999999E-2</v>
      </c>
      <c r="E68" s="16">
        <v>-5.8000000000000003E-2</v>
      </c>
      <c r="F68" s="16">
        <v>-5.5E-2</v>
      </c>
      <c r="G68" s="16">
        <v>-4.7E-2</v>
      </c>
      <c r="H68" s="16">
        <v>-4.2999999999999997E-2</v>
      </c>
      <c r="I68" s="16">
        <v>-5.3999999999999999E-2</v>
      </c>
      <c r="J68" s="16">
        <v>-5.0999999999999997E-2</v>
      </c>
      <c r="K68" s="16">
        <v>-5.0999999999999997E-2</v>
      </c>
      <c r="L68" s="16">
        <v>-5.8999999999999997E-2</v>
      </c>
      <c r="M68" s="16">
        <v>-5.8000000000000003E-2</v>
      </c>
    </row>
    <row r="69" spans="1:25" ht="17" x14ac:dyDescent="0.2">
      <c r="A69" s="13" t="s">
        <v>33</v>
      </c>
      <c r="B69" s="16">
        <v>8.4699999999999998E-2</v>
      </c>
      <c r="C69" s="16">
        <v>0.153</v>
      </c>
      <c r="D69" s="16">
        <v>0.2</v>
      </c>
      <c r="E69" s="16">
        <v>0.64100000000000001</v>
      </c>
      <c r="F69" s="16">
        <v>0.67600000000000005</v>
      </c>
      <c r="G69" s="16">
        <v>0.84099999999999997</v>
      </c>
      <c r="H69" s="16">
        <v>0.86799999999999999</v>
      </c>
      <c r="I69" s="16">
        <v>0.79300000000000004</v>
      </c>
      <c r="J69" s="16">
        <v>0.77200000000000002</v>
      </c>
      <c r="K69" s="16">
        <v>0.76900000000000002</v>
      </c>
      <c r="L69" s="16">
        <v>0.77600000000000002</v>
      </c>
      <c r="M69" s="16">
        <v>0.73299999999999998</v>
      </c>
    </row>
    <row r="70" spans="1:25" ht="17" x14ac:dyDescent="0.2">
      <c r="A70" s="13" t="s">
        <v>34</v>
      </c>
      <c r="B70" s="16">
        <v>-0.56830000000000003</v>
      </c>
      <c r="C70" s="16">
        <v>-0.52100000000000002</v>
      </c>
      <c r="D70" s="16">
        <v>-0.59699999999999998</v>
      </c>
      <c r="E70" s="16">
        <v>-1.0529999999999999</v>
      </c>
      <c r="F70" s="16">
        <v>-1.2989999999999999</v>
      </c>
      <c r="G70" s="16">
        <v>-0.73</v>
      </c>
      <c r="H70" s="16">
        <v>-0.74099999999999999</v>
      </c>
      <c r="I70" s="16">
        <v>-1.2290000000000001</v>
      </c>
      <c r="J70" s="16">
        <v>-1.405</v>
      </c>
      <c r="K70" s="16">
        <v>-1.385</v>
      </c>
      <c r="L70" s="16">
        <v>-10.839</v>
      </c>
      <c r="M70" s="16">
        <v>-12.115</v>
      </c>
    </row>
    <row r="71" spans="1:25" ht="17" x14ac:dyDescent="0.2">
      <c r="A71" s="14" t="s">
        <v>54</v>
      </c>
      <c r="B71" s="16">
        <v>2.0999999999999999E-3</v>
      </c>
      <c r="C71" s="16">
        <v>3.0000000000000001E-3</v>
      </c>
      <c r="D71" s="16">
        <v>3.0000000000000001E-3</v>
      </c>
      <c r="E71" s="16">
        <v>4.0000000000000001E-3</v>
      </c>
      <c r="F71" s="16">
        <v>4.0000000000000001E-3</v>
      </c>
      <c r="G71" s="16">
        <v>4.0000000000000001E-3</v>
      </c>
      <c r="H71" s="16">
        <v>4.0000000000000001E-3</v>
      </c>
      <c r="I71" s="16">
        <v>4.0000000000000001E-3</v>
      </c>
      <c r="J71" s="16">
        <v>4.0000000000000001E-3</v>
      </c>
      <c r="K71" s="16">
        <v>4.0000000000000001E-3</v>
      </c>
      <c r="L71" s="16">
        <v>3.0000000000000001E-3</v>
      </c>
      <c r="M71" s="16">
        <v>3.0000000000000001E-3</v>
      </c>
    </row>
    <row r="72" spans="1:25" ht="17" x14ac:dyDescent="0.2">
      <c r="A72" s="14" t="s">
        <v>36</v>
      </c>
      <c r="B72" s="16">
        <v>1.41E-2</v>
      </c>
      <c r="C72" s="16">
        <v>1.6E-2</v>
      </c>
      <c r="D72" s="16">
        <v>1.7000000000000001E-2</v>
      </c>
      <c r="E72" s="16">
        <v>2.8000000000000001E-2</v>
      </c>
      <c r="F72" s="16">
        <v>2.9000000000000001E-2</v>
      </c>
      <c r="G72" s="16">
        <v>0.03</v>
      </c>
      <c r="H72" s="16">
        <v>0.03</v>
      </c>
      <c r="I72" s="16">
        <v>3.1E-2</v>
      </c>
      <c r="J72" s="16">
        <v>3.1E-2</v>
      </c>
      <c r="K72" s="16">
        <v>3.1E-2</v>
      </c>
      <c r="L72" s="16">
        <v>3.5000000000000003E-2</v>
      </c>
      <c r="M72" s="16">
        <v>3.5000000000000003E-2</v>
      </c>
    </row>
    <row r="73" spans="1:25" ht="17" x14ac:dyDescent="0.2">
      <c r="A73" s="14" t="s">
        <v>37</v>
      </c>
      <c r="B73" s="16">
        <v>1.78E-2</v>
      </c>
      <c r="C73" s="16">
        <v>2.5000000000000001E-2</v>
      </c>
      <c r="D73" s="16">
        <v>2.5999999999999999E-2</v>
      </c>
      <c r="E73" s="16">
        <v>3.4000000000000002E-2</v>
      </c>
      <c r="F73" s="16">
        <v>3.5999999999999997E-2</v>
      </c>
      <c r="G73" s="16">
        <v>3.6999999999999998E-2</v>
      </c>
      <c r="H73" s="16">
        <v>3.5999999999999997E-2</v>
      </c>
      <c r="I73" s="16">
        <v>3.7999999999999999E-2</v>
      </c>
      <c r="J73" s="16">
        <v>3.5999999999999997E-2</v>
      </c>
      <c r="K73" s="16">
        <v>3.5999999999999997E-2</v>
      </c>
      <c r="L73" s="16">
        <v>3.5999999999999997E-2</v>
      </c>
      <c r="M73" s="16">
        <v>3.4000000000000002E-2</v>
      </c>
    </row>
    <row r="74" spans="1:25" ht="17" x14ac:dyDescent="0.2">
      <c r="A74" s="14" t="s">
        <v>38</v>
      </c>
      <c r="B74" s="16">
        <v>-5.5399999999999998E-2</v>
      </c>
      <c r="C74" s="16">
        <v>-5.1999999999999998E-2</v>
      </c>
      <c r="D74" s="16">
        <v>-4.5999999999999999E-2</v>
      </c>
      <c r="E74" s="16">
        <v>0.03</v>
      </c>
      <c r="F74" s="16">
        <v>4.1000000000000002E-2</v>
      </c>
      <c r="G74" s="16">
        <v>6.9000000000000006E-2</v>
      </c>
      <c r="H74" s="16">
        <v>7.6999999999999999E-2</v>
      </c>
      <c r="I74" s="16">
        <v>5.2999999999999999E-2</v>
      </c>
      <c r="J74" s="16">
        <v>5.0999999999999997E-2</v>
      </c>
      <c r="K74" s="16">
        <v>4.5999999999999999E-2</v>
      </c>
      <c r="L74" s="16">
        <v>0.04</v>
      </c>
      <c r="M74" s="16">
        <v>3.4000000000000002E-2</v>
      </c>
    </row>
    <row r="75" spans="1:25" ht="17" x14ac:dyDescent="0.2">
      <c r="A75" s="14" t="s">
        <v>39</v>
      </c>
      <c r="B75" s="16">
        <v>2.3599999999999999E-2</v>
      </c>
      <c r="C75" s="16">
        <v>2.9000000000000001E-2</v>
      </c>
      <c r="D75" s="16">
        <v>3.1E-2</v>
      </c>
      <c r="E75" s="16">
        <v>4.2999999999999997E-2</v>
      </c>
      <c r="F75" s="16">
        <v>4.2000000000000003E-2</v>
      </c>
      <c r="G75" s="16">
        <v>5.0999999999999997E-2</v>
      </c>
      <c r="H75" s="16">
        <v>0.05</v>
      </c>
      <c r="I75" s="16">
        <v>5.0999999999999997E-2</v>
      </c>
      <c r="J75" s="16">
        <v>4.9000000000000002E-2</v>
      </c>
      <c r="K75" s="16">
        <v>0.05</v>
      </c>
      <c r="L75" s="16">
        <v>0.05</v>
      </c>
      <c r="M75" s="16">
        <v>4.7E-2</v>
      </c>
    </row>
    <row r="76" spans="1:25" ht="17" x14ac:dyDescent="0.2">
      <c r="A76" s="14" t="s">
        <v>40</v>
      </c>
      <c r="B76" s="16">
        <v>-2.5000000000000001E-3</v>
      </c>
      <c r="C76" s="16">
        <v>-3.0000000000000001E-3</v>
      </c>
      <c r="D76" s="16">
        <v>-2E-3</v>
      </c>
      <c r="E76" s="16">
        <v>4.0000000000000001E-3</v>
      </c>
      <c r="F76" s="16">
        <v>4.0000000000000001E-3</v>
      </c>
      <c r="G76" s="16">
        <v>8.9999999999999993E-3</v>
      </c>
      <c r="H76" s="16">
        <v>8.9999999999999993E-3</v>
      </c>
      <c r="I76" s="16">
        <v>7.0000000000000001E-3</v>
      </c>
      <c r="J76" s="16">
        <v>7.0000000000000001E-3</v>
      </c>
      <c r="K76" s="16">
        <v>8.0000000000000002E-3</v>
      </c>
      <c r="L76" s="16">
        <v>7.0000000000000001E-3</v>
      </c>
      <c r="M76" s="16">
        <v>6.0000000000000001E-3</v>
      </c>
    </row>
    <row r="77" spans="1:25" ht="17" x14ac:dyDescent="0.2">
      <c r="A77" s="13" t="s">
        <v>41</v>
      </c>
      <c r="B77" s="16">
        <v>0.12720000000000001</v>
      </c>
      <c r="C77" s="16">
        <v>0.13500000000000001</v>
      </c>
      <c r="D77" s="16">
        <v>0.124</v>
      </c>
      <c r="E77" s="16">
        <v>0.14799999999999999</v>
      </c>
      <c r="F77" s="16">
        <v>0.13500000000000001</v>
      </c>
      <c r="G77" s="16">
        <v>0.14899999999999999</v>
      </c>
      <c r="H77" s="16">
        <v>0.14399999999999999</v>
      </c>
      <c r="I77" s="16">
        <v>0.152</v>
      </c>
      <c r="J77" s="16">
        <v>0.14199999999999999</v>
      </c>
      <c r="K77" s="16">
        <v>0.13500000000000001</v>
      </c>
      <c r="L77" s="16">
        <v>0.157</v>
      </c>
      <c r="M77" s="16">
        <v>0.14899999999999999</v>
      </c>
    </row>
    <row r="78" spans="1:25" ht="17" x14ac:dyDescent="0.2">
      <c r="A78" s="13" t="s">
        <v>42</v>
      </c>
      <c r="B78" s="16">
        <v>3.0700000000000002E-2</v>
      </c>
      <c r="C78" s="16">
        <v>2.9000000000000001E-2</v>
      </c>
      <c r="D78" s="16">
        <v>2.8000000000000001E-2</v>
      </c>
      <c r="E78" s="16">
        <v>4.2999999999999997E-2</v>
      </c>
      <c r="F78" s="16">
        <v>4.3999999999999997E-2</v>
      </c>
      <c r="G78" s="16">
        <v>4.5999999999999999E-2</v>
      </c>
      <c r="H78" s="16">
        <v>4.4999999999999998E-2</v>
      </c>
      <c r="I78" s="16">
        <v>4.7E-2</v>
      </c>
      <c r="J78" s="16">
        <v>4.3999999999999997E-2</v>
      </c>
      <c r="K78" s="16">
        <v>4.2999999999999997E-2</v>
      </c>
      <c r="L78" s="16">
        <v>4.7E-2</v>
      </c>
      <c r="M78" s="16">
        <v>4.5999999999999999E-2</v>
      </c>
    </row>
    <row r="80" spans="1:25" ht="20" x14ac:dyDescent="0.2">
      <c r="A80" s="12"/>
      <c r="B80" s="13" t="s">
        <v>49</v>
      </c>
      <c r="C80" s="13" t="s">
        <v>50</v>
      </c>
      <c r="D80" s="13" t="s">
        <v>51</v>
      </c>
      <c r="E80" s="13" t="s">
        <v>23</v>
      </c>
      <c r="F80" s="13" t="s">
        <v>22</v>
      </c>
      <c r="G80" s="13" t="s">
        <v>55</v>
      </c>
      <c r="H80" s="13" t="s">
        <v>52</v>
      </c>
      <c r="I80" s="13" t="s">
        <v>26</v>
      </c>
      <c r="J80" s="13" t="s">
        <v>27</v>
      </c>
      <c r="K80" s="13" t="s">
        <v>53</v>
      </c>
      <c r="L80" s="13" t="s">
        <v>29</v>
      </c>
      <c r="M80" s="13" t="s">
        <v>30</v>
      </c>
      <c r="N80" s="13" t="s">
        <v>31</v>
      </c>
      <c r="O80" s="13" t="s">
        <v>32</v>
      </c>
      <c r="P80" s="13" t="s">
        <v>33</v>
      </c>
      <c r="Q80" s="13" t="s">
        <v>34</v>
      </c>
      <c r="R80" s="14" t="s">
        <v>54</v>
      </c>
      <c r="S80" s="14" t="s">
        <v>36</v>
      </c>
      <c r="T80" s="14" t="s">
        <v>37</v>
      </c>
      <c r="U80" s="14" t="s">
        <v>38</v>
      </c>
      <c r="V80" s="14" t="s">
        <v>39</v>
      </c>
      <c r="W80" s="14" t="s">
        <v>40</v>
      </c>
      <c r="X80" s="13" t="s">
        <v>41</v>
      </c>
      <c r="Y80" s="13" t="s">
        <v>42</v>
      </c>
    </row>
    <row r="81" spans="1:25" x14ac:dyDescent="0.2">
      <c r="A81" s="15" t="s">
        <v>0</v>
      </c>
      <c r="B81" s="16">
        <v>104.67</v>
      </c>
      <c r="C81" s="16">
        <v>3.43</v>
      </c>
      <c r="D81" s="16">
        <v>2.67</v>
      </c>
      <c r="E81" s="16">
        <v>4.4900000000000002E-2</v>
      </c>
      <c r="F81" s="16">
        <v>5.4000000000000003E-3</v>
      </c>
      <c r="G81" s="16">
        <v>-2.5999999999999999E-2</v>
      </c>
      <c r="H81" s="16">
        <v>8.0000000000000002E-3</v>
      </c>
      <c r="I81" s="16">
        <v>-1.2200000000000001E-2</v>
      </c>
      <c r="J81" s="16">
        <v>-0.14019999999999999</v>
      </c>
      <c r="K81" s="16">
        <v>0.48309999999999997</v>
      </c>
      <c r="L81" s="16">
        <v>-4.5400000000000003E-2</v>
      </c>
      <c r="M81" s="16">
        <v>-9.9199999999999997E-2</v>
      </c>
      <c r="N81" s="16">
        <v>-6.9699999999999998E-2</v>
      </c>
      <c r="O81" s="16">
        <v>-6.1899999999999997E-2</v>
      </c>
      <c r="P81" s="16">
        <v>8.4699999999999998E-2</v>
      </c>
      <c r="Q81" s="16">
        <v>-0.56830000000000003</v>
      </c>
      <c r="R81" s="16">
        <v>2.0999999999999999E-3</v>
      </c>
      <c r="S81" s="16">
        <v>1.41E-2</v>
      </c>
      <c r="T81" s="16">
        <v>1.78E-2</v>
      </c>
      <c r="U81" s="16">
        <v>-5.5399999999999998E-2</v>
      </c>
      <c r="V81" s="16">
        <v>2.3599999999999999E-2</v>
      </c>
      <c r="W81" s="16">
        <v>-2.5000000000000001E-3</v>
      </c>
      <c r="X81" s="16">
        <v>0.12720000000000001</v>
      </c>
      <c r="Y81" s="16">
        <v>3.0700000000000002E-2</v>
      </c>
    </row>
    <row r="82" spans="1:25" x14ac:dyDescent="0.2">
      <c r="A82" s="15" t="s">
        <v>1</v>
      </c>
      <c r="B82" s="16">
        <v>91.245000000000005</v>
      </c>
      <c r="C82" s="16">
        <v>3.8690000000000002</v>
      </c>
      <c r="D82" s="16">
        <v>2.8490000000000002</v>
      </c>
      <c r="E82" s="16">
        <v>4.7E-2</v>
      </c>
      <c r="F82" s="16">
        <v>5.0000000000000001E-3</v>
      </c>
      <c r="G82" s="16">
        <v>-2.3E-2</v>
      </c>
      <c r="H82" s="16">
        <v>5.0000000000000001E-3</v>
      </c>
      <c r="I82" s="16">
        <v>-1.2999999999999999E-2</v>
      </c>
      <c r="J82" s="16">
        <v>-0.13</v>
      </c>
      <c r="K82" s="16">
        <v>0.54900000000000004</v>
      </c>
      <c r="L82" s="16">
        <v>-4.5999999999999999E-2</v>
      </c>
      <c r="M82" s="16">
        <v>-8.5999999999999993E-2</v>
      </c>
      <c r="N82" s="16">
        <v>-6.6000000000000003E-2</v>
      </c>
      <c r="O82" s="16">
        <v>-6.4000000000000001E-2</v>
      </c>
      <c r="P82" s="16">
        <v>0.153</v>
      </c>
      <c r="Q82" s="16">
        <v>-0.52100000000000002</v>
      </c>
      <c r="R82" s="16">
        <v>3.0000000000000001E-3</v>
      </c>
      <c r="S82" s="16">
        <v>1.6E-2</v>
      </c>
      <c r="T82" s="16">
        <v>2.5000000000000001E-2</v>
      </c>
      <c r="U82" s="16">
        <v>-5.1999999999999998E-2</v>
      </c>
      <c r="V82" s="16">
        <v>2.9000000000000001E-2</v>
      </c>
      <c r="W82" s="16">
        <v>-3.0000000000000001E-3</v>
      </c>
      <c r="X82" s="16">
        <v>0.13500000000000001</v>
      </c>
      <c r="Y82" s="16">
        <v>2.9000000000000001E-2</v>
      </c>
    </row>
    <row r="83" spans="1:25" x14ac:dyDescent="0.2">
      <c r="A83" s="15" t="s">
        <v>2</v>
      </c>
      <c r="B83" s="16">
        <v>78.096999999999994</v>
      </c>
      <c r="C83" s="16">
        <v>4.2469999999999999</v>
      </c>
      <c r="D83" s="16">
        <v>2.6480000000000001</v>
      </c>
      <c r="E83" s="16">
        <v>4.3999999999999997E-2</v>
      </c>
      <c r="F83" s="16">
        <v>4.0000000000000001E-3</v>
      </c>
      <c r="G83" s="16">
        <v>-2.1999999999999999E-2</v>
      </c>
      <c r="H83" s="16">
        <v>5.0000000000000001E-3</v>
      </c>
      <c r="I83" s="16">
        <v>-1.0999999999999999E-2</v>
      </c>
      <c r="J83" s="16">
        <v>-0.122</v>
      </c>
      <c r="K83" s="16">
        <v>0.59599999999999997</v>
      </c>
      <c r="L83" s="16">
        <v>-3.9E-2</v>
      </c>
      <c r="M83" s="16">
        <v>-7.8E-2</v>
      </c>
      <c r="N83" s="16">
        <v>-0.06</v>
      </c>
      <c r="O83" s="16">
        <v>-6.0999999999999999E-2</v>
      </c>
      <c r="P83" s="16">
        <v>0.2</v>
      </c>
      <c r="Q83" s="16">
        <v>-0.59699999999999998</v>
      </c>
      <c r="R83" s="16">
        <v>3.0000000000000001E-3</v>
      </c>
      <c r="S83" s="16">
        <v>1.7000000000000001E-2</v>
      </c>
      <c r="T83" s="16">
        <v>2.5999999999999999E-2</v>
      </c>
      <c r="U83" s="16">
        <v>-4.5999999999999999E-2</v>
      </c>
      <c r="V83" s="16">
        <v>3.1E-2</v>
      </c>
      <c r="W83" s="16">
        <v>-2E-3</v>
      </c>
      <c r="X83" s="16">
        <v>0.124</v>
      </c>
      <c r="Y83" s="16">
        <v>2.8000000000000001E-2</v>
      </c>
    </row>
    <row r="84" spans="1:25" x14ac:dyDescent="0.2">
      <c r="A84" s="15" t="s">
        <v>3</v>
      </c>
      <c r="B84" s="16">
        <v>71.078999999999994</v>
      </c>
      <c r="C84" s="16">
        <v>2.996</v>
      </c>
      <c r="D84" s="16">
        <v>2.222</v>
      </c>
      <c r="E84" s="16">
        <v>0.183</v>
      </c>
      <c r="F84" s="16">
        <v>-5.0000000000000001E-3</v>
      </c>
      <c r="G84" s="16">
        <v>-2.8000000000000001E-2</v>
      </c>
      <c r="H84" s="16">
        <v>4.0000000000000001E-3</v>
      </c>
      <c r="I84" s="16">
        <v>-0.01</v>
      </c>
      <c r="J84" s="16">
        <v>-8.0000000000000002E-3</v>
      </c>
      <c r="K84" s="16">
        <v>0.81499999999999995</v>
      </c>
      <c r="L84" s="16">
        <v>1.4E-2</v>
      </c>
      <c r="M84" s="16">
        <v>5.6000000000000001E-2</v>
      </c>
      <c r="N84" s="16">
        <v>5.8000000000000003E-2</v>
      </c>
      <c r="O84" s="16">
        <v>-5.8000000000000003E-2</v>
      </c>
      <c r="P84" s="16">
        <v>0.64100000000000001</v>
      </c>
      <c r="Q84" s="16">
        <v>-1.0529999999999999</v>
      </c>
      <c r="R84" s="16">
        <v>4.0000000000000001E-3</v>
      </c>
      <c r="S84" s="16">
        <v>2.8000000000000001E-2</v>
      </c>
      <c r="T84" s="16">
        <v>3.4000000000000002E-2</v>
      </c>
      <c r="U84" s="16">
        <v>0.03</v>
      </c>
      <c r="V84" s="16">
        <v>4.2999999999999997E-2</v>
      </c>
      <c r="W84" s="16">
        <v>4.0000000000000001E-3</v>
      </c>
      <c r="X84" s="16">
        <v>0.14799999999999999</v>
      </c>
      <c r="Y84" s="16">
        <v>4.2999999999999997E-2</v>
      </c>
    </row>
    <row r="85" spans="1:25" x14ac:dyDescent="0.2">
      <c r="A85" s="15" t="s">
        <v>4</v>
      </c>
      <c r="B85" s="16">
        <v>71.155000000000001</v>
      </c>
      <c r="C85" s="16">
        <v>2.819</v>
      </c>
      <c r="D85" s="16">
        <v>2.218</v>
      </c>
      <c r="E85" s="16">
        <v>0.189</v>
      </c>
      <c r="F85" s="16">
        <v>-6.0000000000000001E-3</v>
      </c>
      <c r="G85" s="16">
        <v>-3.3000000000000002E-2</v>
      </c>
      <c r="H85" s="16">
        <v>2.4E-2</v>
      </c>
      <c r="I85" s="16">
        <v>5.0000000000000001E-3</v>
      </c>
      <c r="J85" s="16">
        <v>-1.7999999999999999E-2</v>
      </c>
      <c r="K85" s="16">
        <v>0.79500000000000004</v>
      </c>
      <c r="L85" s="16">
        <v>1.6E-2</v>
      </c>
      <c r="M85" s="16">
        <v>4.5999999999999999E-2</v>
      </c>
      <c r="N85" s="16">
        <v>4.7E-2</v>
      </c>
      <c r="O85" s="16">
        <v>-5.5E-2</v>
      </c>
      <c r="P85" s="16">
        <v>0.67600000000000005</v>
      </c>
      <c r="Q85" s="16">
        <v>-1.2989999999999999</v>
      </c>
      <c r="R85" s="16">
        <v>4.0000000000000001E-3</v>
      </c>
      <c r="S85" s="16">
        <v>2.9000000000000001E-2</v>
      </c>
      <c r="T85" s="16">
        <v>3.5999999999999997E-2</v>
      </c>
      <c r="U85" s="16">
        <v>4.1000000000000002E-2</v>
      </c>
      <c r="V85" s="16">
        <v>4.2000000000000003E-2</v>
      </c>
      <c r="W85" s="16">
        <v>4.0000000000000001E-3</v>
      </c>
      <c r="X85" s="16">
        <v>0.13500000000000001</v>
      </c>
      <c r="Y85" s="16">
        <v>4.3999999999999997E-2</v>
      </c>
    </row>
    <row r="86" spans="1:25" x14ac:dyDescent="0.2">
      <c r="A86" s="15" t="s">
        <v>5</v>
      </c>
      <c r="B86" s="16">
        <v>41.997999999999998</v>
      </c>
      <c r="C86" s="16">
        <v>2.3479999999999999</v>
      </c>
      <c r="D86" s="16">
        <v>1.4930000000000001</v>
      </c>
      <c r="E86" s="16">
        <v>0.23400000000000001</v>
      </c>
      <c r="F86" s="16">
        <v>-8.9999999999999993E-3</v>
      </c>
      <c r="G86" s="16">
        <v>-3.2000000000000001E-2</v>
      </c>
      <c r="H86" s="16">
        <v>1.4999999999999999E-2</v>
      </c>
      <c r="I86" s="16">
        <v>1E-3</v>
      </c>
      <c r="J86" s="16">
        <v>0.106</v>
      </c>
      <c r="K86" s="16">
        <v>1.1759999999999999</v>
      </c>
      <c r="L86" s="16">
        <v>0.08</v>
      </c>
      <c r="M86" s="16">
        <v>0.17799999999999999</v>
      </c>
      <c r="N86" s="16">
        <v>0.105</v>
      </c>
      <c r="O86" s="16">
        <v>-4.7E-2</v>
      </c>
      <c r="P86" s="16">
        <v>0.84099999999999997</v>
      </c>
      <c r="Q86" s="16">
        <v>-0.73</v>
      </c>
      <c r="R86" s="16">
        <v>4.0000000000000001E-3</v>
      </c>
      <c r="S86" s="16">
        <v>0.03</v>
      </c>
      <c r="T86" s="16">
        <v>3.6999999999999998E-2</v>
      </c>
      <c r="U86" s="16">
        <v>6.9000000000000006E-2</v>
      </c>
      <c r="V86" s="16">
        <v>5.0999999999999997E-2</v>
      </c>
      <c r="W86" s="16">
        <v>8.9999999999999993E-3</v>
      </c>
      <c r="X86" s="16">
        <v>0.14899999999999999</v>
      </c>
      <c r="Y86" s="16">
        <v>4.5999999999999999E-2</v>
      </c>
    </row>
    <row r="87" spans="1:25" x14ac:dyDescent="0.2">
      <c r="A87" s="15" t="s">
        <v>6</v>
      </c>
      <c r="B87" s="16">
        <v>34.966999999999999</v>
      </c>
      <c r="C87" s="16">
        <v>2.0750000000000002</v>
      </c>
      <c r="D87" s="16">
        <v>1.266</v>
      </c>
      <c r="E87" s="16">
        <v>0.24299999999999999</v>
      </c>
      <c r="F87" s="16">
        <v>-0.01</v>
      </c>
      <c r="G87" s="16">
        <v>-3.5999999999999997E-2</v>
      </c>
      <c r="H87" s="16">
        <v>1.2999999999999999E-2</v>
      </c>
      <c r="I87" s="16">
        <v>0</v>
      </c>
      <c r="J87" s="16">
        <v>0.129</v>
      </c>
      <c r="K87" s="16">
        <v>1.155</v>
      </c>
      <c r="L87" s="16">
        <v>9.0999999999999998E-2</v>
      </c>
      <c r="M87" s="16">
        <v>0.20100000000000001</v>
      </c>
      <c r="N87" s="16">
        <v>0.121</v>
      </c>
      <c r="O87" s="16">
        <v>-4.2999999999999997E-2</v>
      </c>
      <c r="P87" s="16">
        <v>0.86799999999999999</v>
      </c>
      <c r="Q87" s="16">
        <v>-0.74099999999999999</v>
      </c>
      <c r="R87" s="16">
        <v>4.0000000000000001E-3</v>
      </c>
      <c r="S87" s="16">
        <v>0.03</v>
      </c>
      <c r="T87" s="16">
        <v>3.5999999999999997E-2</v>
      </c>
      <c r="U87" s="16">
        <v>7.6999999999999999E-2</v>
      </c>
      <c r="V87" s="16">
        <v>0.05</v>
      </c>
      <c r="W87" s="16">
        <v>8.9999999999999993E-3</v>
      </c>
      <c r="X87" s="16">
        <v>0.14399999999999999</v>
      </c>
      <c r="Y87" s="16">
        <v>4.4999999999999998E-2</v>
      </c>
    </row>
    <row r="88" spans="1:25" x14ac:dyDescent="0.2">
      <c r="A88" s="15" t="s">
        <v>7</v>
      </c>
      <c r="B88" s="16">
        <v>52.399000000000001</v>
      </c>
      <c r="C88" s="16">
        <v>2.867</v>
      </c>
      <c r="D88" s="16">
        <v>1.827</v>
      </c>
      <c r="E88" s="16">
        <v>0.22</v>
      </c>
      <c r="F88" s="16">
        <v>-7.0000000000000001E-3</v>
      </c>
      <c r="G88" s="16">
        <v>-3.6999999999999998E-2</v>
      </c>
      <c r="H88" s="16">
        <v>1.7999999999999999E-2</v>
      </c>
      <c r="I88" s="16">
        <v>0</v>
      </c>
      <c r="J88" s="16">
        <v>6.3E-2</v>
      </c>
      <c r="K88" s="16">
        <v>1.181</v>
      </c>
      <c r="L88" s="16">
        <v>6.9000000000000006E-2</v>
      </c>
      <c r="M88" s="16">
        <v>0.14000000000000001</v>
      </c>
      <c r="N88" s="16">
        <v>8.4000000000000005E-2</v>
      </c>
      <c r="O88" s="16">
        <v>-5.3999999999999999E-2</v>
      </c>
      <c r="P88" s="16">
        <v>0.79300000000000004</v>
      </c>
      <c r="Q88" s="16">
        <v>-1.2290000000000001</v>
      </c>
      <c r="R88" s="16">
        <v>4.0000000000000001E-3</v>
      </c>
      <c r="S88" s="16">
        <v>3.1E-2</v>
      </c>
      <c r="T88" s="16">
        <v>3.7999999999999999E-2</v>
      </c>
      <c r="U88" s="16">
        <v>5.2999999999999999E-2</v>
      </c>
      <c r="V88" s="16">
        <v>5.0999999999999997E-2</v>
      </c>
      <c r="W88" s="16">
        <v>7.0000000000000001E-3</v>
      </c>
      <c r="X88" s="16">
        <v>0.152</v>
      </c>
      <c r="Y88" s="16">
        <v>4.7E-2</v>
      </c>
    </row>
    <row r="89" spans="1:25" x14ac:dyDescent="0.2">
      <c r="A89" s="15" t="s">
        <v>8</v>
      </c>
      <c r="B89" s="16">
        <v>46.298999999999999</v>
      </c>
      <c r="C89" s="16">
        <v>2.77</v>
      </c>
      <c r="D89" s="16">
        <v>1.653</v>
      </c>
      <c r="E89" s="16">
        <v>0.214</v>
      </c>
      <c r="F89" s="16">
        <v>-6.0000000000000001E-3</v>
      </c>
      <c r="G89" s="16">
        <v>-4.1000000000000002E-2</v>
      </c>
      <c r="H89" s="16">
        <v>1.2999999999999999E-2</v>
      </c>
      <c r="I89" s="16">
        <v>-2E-3</v>
      </c>
      <c r="J89" s="16">
        <v>6.5000000000000002E-2</v>
      </c>
      <c r="K89" s="16">
        <v>1.1319999999999999</v>
      </c>
      <c r="L89" s="16">
        <v>6.6000000000000003E-2</v>
      </c>
      <c r="M89" s="16">
        <v>0.13600000000000001</v>
      </c>
      <c r="N89" s="16">
        <v>0.104</v>
      </c>
      <c r="O89" s="16">
        <v>-5.0999999999999997E-2</v>
      </c>
      <c r="P89" s="16">
        <v>0.77200000000000002</v>
      </c>
      <c r="Q89" s="16">
        <v>-1.405</v>
      </c>
      <c r="R89" s="16">
        <v>4.0000000000000001E-3</v>
      </c>
      <c r="S89" s="16">
        <v>3.1E-2</v>
      </c>
      <c r="T89" s="16">
        <v>3.5999999999999997E-2</v>
      </c>
      <c r="U89" s="16">
        <v>5.0999999999999997E-2</v>
      </c>
      <c r="V89" s="16">
        <v>4.9000000000000002E-2</v>
      </c>
      <c r="W89" s="16">
        <v>7.0000000000000001E-3</v>
      </c>
      <c r="X89" s="16">
        <v>0.14199999999999999</v>
      </c>
      <c r="Y89" s="16">
        <v>4.3999999999999997E-2</v>
      </c>
    </row>
    <row r="90" spans="1:25" x14ac:dyDescent="0.2">
      <c r="A90" s="15" t="s">
        <v>9</v>
      </c>
      <c r="B90" s="16">
        <v>44.478000000000002</v>
      </c>
      <c r="C90" s="16">
        <v>2.8370000000000002</v>
      </c>
      <c r="D90" s="16">
        <v>1.611</v>
      </c>
      <c r="E90" s="16">
        <v>0.2</v>
      </c>
      <c r="F90" s="16">
        <v>-5.0000000000000001E-3</v>
      </c>
      <c r="G90" s="16">
        <v>-3.9E-2</v>
      </c>
      <c r="H90" s="16">
        <v>1.2999999999999999E-2</v>
      </c>
      <c r="I90" s="16">
        <v>-1E-3</v>
      </c>
      <c r="J90" s="16">
        <v>5.6000000000000001E-2</v>
      </c>
      <c r="K90" s="16">
        <v>1.099</v>
      </c>
      <c r="L90" s="16">
        <v>6.2E-2</v>
      </c>
      <c r="M90" s="16">
        <v>0.125</v>
      </c>
      <c r="N90" s="16">
        <v>9.7000000000000003E-2</v>
      </c>
      <c r="O90" s="16">
        <v>-5.0999999999999997E-2</v>
      </c>
      <c r="P90" s="16">
        <v>0.76900000000000002</v>
      </c>
      <c r="Q90" s="16">
        <v>-1.385</v>
      </c>
      <c r="R90" s="16">
        <v>4.0000000000000001E-3</v>
      </c>
      <c r="S90" s="16">
        <v>3.1E-2</v>
      </c>
      <c r="T90" s="16">
        <v>3.5999999999999997E-2</v>
      </c>
      <c r="U90" s="16">
        <v>4.5999999999999999E-2</v>
      </c>
      <c r="V90" s="16">
        <v>0.05</v>
      </c>
      <c r="W90" s="16">
        <v>8.0000000000000002E-3</v>
      </c>
      <c r="X90" s="16">
        <v>0.13500000000000001</v>
      </c>
      <c r="Y90" s="16">
        <v>4.2999999999999997E-2</v>
      </c>
    </row>
    <row r="91" spans="1:25" x14ac:dyDescent="0.2">
      <c r="A91" s="15" t="s">
        <v>10</v>
      </c>
      <c r="B91" s="16">
        <v>52.643000000000001</v>
      </c>
      <c r="C91" s="16">
        <v>2.82</v>
      </c>
      <c r="D91" s="16">
        <v>1.79</v>
      </c>
      <c r="E91" s="16">
        <v>0.23100000000000001</v>
      </c>
      <c r="F91" s="16">
        <v>-4.0000000000000001E-3</v>
      </c>
      <c r="G91" s="16">
        <v>-6.4000000000000001E-2</v>
      </c>
      <c r="H91" s="16">
        <v>4.0000000000000001E-3</v>
      </c>
      <c r="I91" s="16">
        <v>-8.0000000000000002E-3</v>
      </c>
      <c r="J91" s="16">
        <v>5.3999999999999999E-2</v>
      </c>
      <c r="K91" s="16">
        <v>1.2050000000000001</v>
      </c>
      <c r="L91" s="16">
        <v>6.0999999999999999E-2</v>
      </c>
      <c r="M91" s="16">
        <v>0.13300000000000001</v>
      </c>
      <c r="N91" s="16">
        <v>0.121</v>
      </c>
      <c r="O91" s="16">
        <v>-5.8999999999999997E-2</v>
      </c>
      <c r="P91" s="16">
        <v>0.77600000000000002</v>
      </c>
      <c r="Q91" s="16">
        <v>-10.839</v>
      </c>
      <c r="R91" s="16">
        <v>3.0000000000000001E-3</v>
      </c>
      <c r="S91" s="16">
        <v>3.5000000000000003E-2</v>
      </c>
      <c r="T91" s="16">
        <v>3.5999999999999997E-2</v>
      </c>
      <c r="U91" s="16">
        <v>0.04</v>
      </c>
      <c r="V91" s="16">
        <v>0.05</v>
      </c>
      <c r="W91" s="16">
        <v>7.0000000000000001E-3</v>
      </c>
      <c r="X91" s="16">
        <v>0.157</v>
      </c>
      <c r="Y91" s="16">
        <v>4.7E-2</v>
      </c>
    </row>
    <row r="92" spans="1:25" x14ac:dyDescent="0.2">
      <c r="A92" s="15" t="s">
        <v>11</v>
      </c>
      <c r="B92" s="16">
        <v>51.716999999999999</v>
      </c>
      <c r="C92" s="16">
        <v>2.915</v>
      </c>
      <c r="D92" s="16">
        <v>1.7190000000000001</v>
      </c>
      <c r="E92" s="16">
        <v>0.221</v>
      </c>
      <c r="F92" s="16">
        <v>-3.0000000000000001E-3</v>
      </c>
      <c r="G92" s="16">
        <v>-7.1999999999999995E-2</v>
      </c>
      <c r="H92" s="16">
        <v>-1E-3</v>
      </c>
      <c r="I92" s="16">
        <v>-0.01</v>
      </c>
      <c r="J92" s="16">
        <v>4.2000000000000003E-2</v>
      </c>
      <c r="K92" s="16">
        <v>1.1839999999999999</v>
      </c>
      <c r="L92" s="16">
        <v>5.8000000000000003E-2</v>
      </c>
      <c r="M92" s="16">
        <v>0.12</v>
      </c>
      <c r="N92" s="16">
        <v>0.124</v>
      </c>
      <c r="O92" s="16">
        <v>-5.8000000000000003E-2</v>
      </c>
      <c r="P92" s="16">
        <v>0.73299999999999998</v>
      </c>
      <c r="Q92" s="16">
        <v>-12.115</v>
      </c>
      <c r="R92" s="16">
        <v>3.0000000000000001E-3</v>
      </c>
      <c r="S92" s="16">
        <v>3.5000000000000003E-2</v>
      </c>
      <c r="T92" s="16">
        <v>3.4000000000000002E-2</v>
      </c>
      <c r="U92" s="16">
        <v>3.4000000000000002E-2</v>
      </c>
      <c r="V92" s="16">
        <v>4.7E-2</v>
      </c>
      <c r="W92" s="16">
        <v>6.0000000000000001E-3</v>
      </c>
      <c r="X92" s="16">
        <v>0.14899999999999999</v>
      </c>
      <c r="Y92" s="16">
        <v>4.5999999999999999E-2</v>
      </c>
    </row>
    <row r="94" spans="1:25" x14ac:dyDescent="0.2">
      <c r="A94" s="18" t="s">
        <v>58</v>
      </c>
    </row>
    <row r="96" spans="1:25" x14ac:dyDescent="0.2">
      <c r="B96" s="1" t="s">
        <v>0</v>
      </c>
      <c r="C96" s="1" t="s">
        <v>1</v>
      </c>
      <c r="D96" s="1" t="s">
        <v>2</v>
      </c>
      <c r="E96" s="1" t="s">
        <v>3</v>
      </c>
      <c r="F96" s="1" t="s">
        <v>4</v>
      </c>
      <c r="G96" s="1" t="s">
        <v>5</v>
      </c>
      <c r="H96" s="1" t="s">
        <v>6</v>
      </c>
      <c r="I96" s="1" t="s">
        <v>7</v>
      </c>
      <c r="J96" s="1" t="s">
        <v>8</v>
      </c>
      <c r="K96" s="1" t="s">
        <v>9</v>
      </c>
      <c r="L96" s="1" t="s">
        <v>10</v>
      </c>
      <c r="M96" s="1" t="s">
        <v>11</v>
      </c>
    </row>
    <row r="97" spans="1:13" x14ac:dyDescent="0.2">
      <c r="A97" s="1" t="s">
        <v>19</v>
      </c>
      <c r="B97" s="19">
        <v>6.5209865387166763E-2</v>
      </c>
      <c r="C97" s="19">
        <v>5.338377257133739E-2</v>
      </c>
      <c r="D97" s="19">
        <v>4.4950390203316377E-2</v>
      </c>
      <c r="E97" s="19">
        <v>4.4546741862618755E-2</v>
      </c>
      <c r="F97" s="19">
        <v>4.4937991766300957E-2</v>
      </c>
      <c r="G97" s="19">
        <v>2.7777518896076041E-2</v>
      </c>
      <c r="H97" s="19">
        <v>2.4031360970738599E-2</v>
      </c>
      <c r="I97" s="19">
        <v>3.1713629483982334E-2</v>
      </c>
      <c r="J97" s="19">
        <v>2.8844018565460202E-2</v>
      </c>
      <c r="K97" s="19">
        <v>2.8292693815373193E-2</v>
      </c>
      <c r="L97" s="19">
        <v>2.7995641932629607E-2</v>
      </c>
      <c r="M97" s="19">
        <v>2.7141008897626186E-2</v>
      </c>
    </row>
    <row r="98" spans="1:13" x14ac:dyDescent="0.2">
      <c r="A98" s="1" t="s">
        <v>20</v>
      </c>
      <c r="B98" s="19">
        <v>0.48663153016523347</v>
      </c>
      <c r="C98" s="19">
        <v>0.51548254128659954</v>
      </c>
      <c r="D98" s="19">
        <v>0.55666821041860415</v>
      </c>
      <c r="E98" s="19">
        <v>0.42759388944198651</v>
      </c>
      <c r="F98" s="19">
        <v>0.40543231225934678</v>
      </c>
      <c r="G98" s="19">
        <v>0.35365351595055677</v>
      </c>
      <c r="H98" s="19">
        <v>0.32475297593777486</v>
      </c>
      <c r="I98" s="19">
        <v>0.39515336726602396</v>
      </c>
      <c r="J98" s="19">
        <v>0.39298771075547184</v>
      </c>
      <c r="K98" s="19">
        <v>0.41096366895851566</v>
      </c>
      <c r="L98" s="19">
        <v>0.34151827865621226</v>
      </c>
      <c r="M98" s="19">
        <v>0.34837442681258979</v>
      </c>
    </row>
    <row r="99" spans="1:13" x14ac:dyDescent="0.2">
      <c r="A99" s="1" t="s">
        <v>21</v>
      </c>
      <c r="B99" s="19">
        <v>0.25178154465716424</v>
      </c>
      <c r="C99" s="19">
        <v>0.2522982208866314</v>
      </c>
      <c r="D99" s="19">
        <v>0.2306952477224776</v>
      </c>
      <c r="E99" s="19">
        <v>0.21078526274503817</v>
      </c>
      <c r="F99" s="19">
        <v>0.21202707974677107</v>
      </c>
      <c r="G99" s="19">
        <v>0.14946730463402189</v>
      </c>
      <c r="H99" s="19">
        <v>0.13169680887852755</v>
      </c>
      <c r="I99" s="19">
        <v>0.16737209380634868</v>
      </c>
      <c r="J99" s="19">
        <v>0.15587575203213699</v>
      </c>
      <c r="K99" s="19">
        <v>0.15511226594431313</v>
      </c>
      <c r="L99" s="19">
        <v>0.14408686199134246</v>
      </c>
      <c r="M99" s="19">
        <v>0.13654949313520498</v>
      </c>
    </row>
    <row r="100" spans="1:13" x14ac:dyDescent="0.2">
      <c r="A100" s="1" t="s">
        <v>23</v>
      </c>
      <c r="B100" s="19">
        <v>3.8144857290234077E-2</v>
      </c>
      <c r="C100" s="19">
        <v>3.7497008217429455E-2</v>
      </c>
      <c r="D100" s="19">
        <v>3.45342767609381E-2</v>
      </c>
      <c r="E100" s="19">
        <v>0.15639551691253714</v>
      </c>
      <c r="F100" s="19">
        <v>0.16276784568574779</v>
      </c>
      <c r="G100" s="19">
        <v>0.2110470440696893</v>
      </c>
      <c r="H100" s="19">
        <v>0.22773240935828382</v>
      </c>
      <c r="I100" s="19">
        <v>0.18157004609238156</v>
      </c>
      <c r="J100" s="19">
        <v>0.18180109838446784</v>
      </c>
      <c r="K100" s="19">
        <v>0.17348327762881666</v>
      </c>
      <c r="L100" s="19">
        <v>0.16751756565504108</v>
      </c>
      <c r="M100" s="19">
        <v>0.15815521271470578</v>
      </c>
    </row>
    <row r="101" spans="1:13" x14ac:dyDescent="0.2">
      <c r="A101" s="1" t="s">
        <v>22</v>
      </c>
      <c r="B101" s="19">
        <v>1.1316024478973674E-2</v>
      </c>
      <c r="C101" s="19">
        <v>9.8396404542190775E-3</v>
      </c>
      <c r="D101" s="19">
        <v>7.7440499403315741E-3</v>
      </c>
      <c r="E101" s="19">
        <v>1.0540317168968805E-2</v>
      </c>
      <c r="F101" s="19">
        <v>1.2745841884386599E-2</v>
      </c>
      <c r="G101" s="19">
        <v>2.0022411873278214E-2</v>
      </c>
      <c r="H101" s="19">
        <v>2.3116870085751716E-2</v>
      </c>
      <c r="I101" s="19">
        <v>1.4250497556947524E-2</v>
      </c>
      <c r="J101" s="19">
        <v>1.2573160075187497E-2</v>
      </c>
      <c r="K101" s="19">
        <v>1.0698135453777027E-2</v>
      </c>
      <c r="L101" s="19">
        <v>7.155151433462072E-3</v>
      </c>
      <c r="M101" s="19">
        <v>5.2956949053792881E-3</v>
      </c>
    </row>
    <row r="102" spans="1:13" x14ac:dyDescent="0.2">
      <c r="A102" s="1" t="s">
        <v>24</v>
      </c>
      <c r="B102" s="19">
        <v>4.1967838533130589E-2</v>
      </c>
      <c r="C102" s="19">
        <v>3.4864239555354622E-2</v>
      </c>
      <c r="D102" s="19">
        <v>3.2807562922891192E-2</v>
      </c>
      <c r="E102" s="19">
        <v>4.5465800545065445E-2</v>
      </c>
      <c r="F102" s="19">
        <v>5.3997586902097279E-2</v>
      </c>
      <c r="G102" s="19">
        <v>5.4836155040329529E-2</v>
      </c>
      <c r="H102" s="19">
        <v>6.4102455967516916E-2</v>
      </c>
      <c r="I102" s="19">
        <v>5.8019882910429199E-2</v>
      </c>
      <c r="J102" s="19">
        <v>6.617899796331797E-2</v>
      </c>
      <c r="K102" s="19">
        <v>6.427555436147657E-2</v>
      </c>
      <c r="L102" s="19">
        <v>8.8182406855640674E-2</v>
      </c>
      <c r="M102" s="19">
        <v>9.7898792304849547E-2</v>
      </c>
    </row>
    <row r="103" spans="1:13" x14ac:dyDescent="0.2">
      <c r="A103" s="1" t="s">
        <v>25</v>
      </c>
      <c r="B103" s="19">
        <v>1.8123762929287165E-3</v>
      </c>
      <c r="C103" s="19">
        <v>1.0637449139696302E-3</v>
      </c>
      <c r="D103" s="19">
        <v>1.0464932351799425E-3</v>
      </c>
      <c r="E103" s="19">
        <v>9.1159499839730206E-4</v>
      </c>
      <c r="F103" s="19">
        <v>5.5117154094644757E-3</v>
      </c>
      <c r="G103" s="19">
        <v>3.6076417789690477E-3</v>
      </c>
      <c r="H103" s="19">
        <v>3.2488574174569977E-3</v>
      </c>
      <c r="I103" s="19">
        <v>3.9615282783792343E-3</v>
      </c>
      <c r="J103" s="19">
        <v>2.94506452211599E-3</v>
      </c>
      <c r="K103" s="19">
        <v>3.0070434788994887E-3</v>
      </c>
      <c r="L103" s="19">
        <v>7.7352988469860237E-4</v>
      </c>
      <c r="M103" s="19">
        <v>1.9083585244610048E-4</v>
      </c>
    </row>
    <row r="104" spans="1:13" x14ac:dyDescent="0.2">
      <c r="A104" s="1" t="s">
        <v>26</v>
      </c>
      <c r="B104" s="19">
        <v>1.0364526925186097E-3</v>
      </c>
      <c r="C104" s="19">
        <v>1.0371512911203893E-3</v>
      </c>
      <c r="D104" s="19">
        <v>8.6335691902345252E-4</v>
      </c>
      <c r="E104" s="19">
        <v>8.5462031099747067E-4</v>
      </c>
      <c r="F104" s="19">
        <v>4.3060276636441212E-4</v>
      </c>
      <c r="G104" s="19">
        <v>9.01910444742262E-5</v>
      </c>
      <c r="H104" s="19">
        <v>0</v>
      </c>
      <c r="I104" s="19">
        <v>0</v>
      </c>
      <c r="J104" s="19">
        <v>1.6990756858361483E-4</v>
      </c>
      <c r="K104" s="19">
        <v>8.6741638814408328E-5</v>
      </c>
      <c r="L104" s="19">
        <v>5.8014741352395178E-4</v>
      </c>
      <c r="M104" s="19">
        <v>7.1563444667287679E-4</v>
      </c>
    </row>
    <row r="105" spans="1:13" x14ac:dyDescent="0.2">
      <c r="A105" s="1" t="s">
        <v>27</v>
      </c>
      <c r="B105" s="19">
        <v>2.3821420900181814E-2</v>
      </c>
      <c r="C105" s="19">
        <v>2.0743025822407786E-2</v>
      </c>
      <c r="D105" s="19">
        <v>1.9150826203792947E-2</v>
      </c>
      <c r="E105" s="19">
        <v>1.3673924975959532E-3</v>
      </c>
      <c r="F105" s="19">
        <v>3.1003399178237668E-3</v>
      </c>
      <c r="G105" s="19">
        <v>1.9120501428535955E-2</v>
      </c>
      <c r="H105" s="19">
        <v>2.4178996549151122E-2</v>
      </c>
      <c r="I105" s="19">
        <v>1.039901173074549E-2</v>
      </c>
      <c r="J105" s="19">
        <v>1.1043991957934964E-2</v>
      </c>
      <c r="K105" s="19">
        <v>9.7150635472137339E-3</v>
      </c>
      <c r="L105" s="19">
        <v>7.8319900825733497E-3</v>
      </c>
      <c r="M105" s="19">
        <v>6.0113293520521653E-3</v>
      </c>
    </row>
    <row r="106" spans="1:13" x14ac:dyDescent="0.2">
      <c r="A106" s="1" t="s">
        <v>28</v>
      </c>
      <c r="B106" s="19">
        <v>1.3680609173654107E-2</v>
      </c>
      <c r="C106" s="19">
        <v>1.4599898944233173E-2</v>
      </c>
      <c r="D106" s="19">
        <v>1.5592749204181142E-2</v>
      </c>
      <c r="E106" s="19">
        <v>2.3217185115431287E-2</v>
      </c>
      <c r="F106" s="19">
        <v>2.2821946617313845E-2</v>
      </c>
      <c r="G106" s="19">
        <v>3.5354889433896669E-2</v>
      </c>
      <c r="H106" s="19">
        <v>3.6081060741950312E-2</v>
      </c>
      <c r="I106" s="19">
        <v>3.249003400531858E-2</v>
      </c>
      <c r="J106" s="19">
        <v>3.2055894606108658E-2</v>
      </c>
      <c r="K106" s="19">
        <v>3.1776353685678251E-2</v>
      </c>
      <c r="L106" s="19">
        <v>2.9128234720681746E-2</v>
      </c>
      <c r="M106" s="19">
        <v>2.8243706162022871E-2</v>
      </c>
    </row>
    <row r="107" spans="1:13" x14ac:dyDescent="0.2">
      <c r="A107" s="1" t="s">
        <v>29</v>
      </c>
      <c r="B107" s="19">
        <v>1.9284816491944626E-3</v>
      </c>
      <c r="C107" s="19">
        <v>1.834959976597612E-3</v>
      </c>
      <c r="D107" s="19">
        <v>1.5304963564506658E-3</v>
      </c>
      <c r="E107" s="19">
        <v>5.9823421769822957E-4</v>
      </c>
      <c r="F107" s="19">
        <v>6.8896442618305946E-4</v>
      </c>
      <c r="G107" s="19">
        <v>3.6076417789690477E-3</v>
      </c>
      <c r="H107" s="19">
        <v>4.2641253604123099E-3</v>
      </c>
      <c r="I107" s="19">
        <v>2.8473484500850751E-3</v>
      </c>
      <c r="J107" s="19">
        <v>2.8034748816296445E-3</v>
      </c>
      <c r="K107" s="19">
        <v>2.6889908032466585E-3</v>
      </c>
      <c r="L107" s="19">
        <v>2.2118120140600661E-3</v>
      </c>
      <c r="M107" s="19">
        <v>2.0753398953513428E-3</v>
      </c>
    </row>
    <row r="108" spans="1:13" x14ac:dyDescent="0.2">
      <c r="A108" s="1" t="s">
        <v>30</v>
      </c>
      <c r="B108" s="19">
        <v>1.2079487992369894E-2</v>
      </c>
      <c r="C108" s="19">
        <v>9.8343217296492282E-3</v>
      </c>
      <c r="D108" s="19">
        <v>8.7748457769838174E-3</v>
      </c>
      <c r="E108" s="19">
        <v>6.8597523629396976E-3</v>
      </c>
      <c r="F108" s="19">
        <v>5.6782151457920472E-3</v>
      </c>
      <c r="G108" s="19">
        <v>2.3010741813524242E-2</v>
      </c>
      <c r="H108" s="19">
        <v>2.6999879479885421E-2</v>
      </c>
      <c r="I108" s="19">
        <v>1.6561389052668744E-2</v>
      </c>
      <c r="J108" s="19">
        <v>1.656032435128299E-2</v>
      </c>
      <c r="K108" s="19">
        <v>1.5541210287581491E-2</v>
      </c>
      <c r="L108" s="19">
        <v>1.3824429408097834E-2</v>
      </c>
      <c r="M108" s="19">
        <v>1.2308912482773481E-2</v>
      </c>
    </row>
    <row r="109" spans="1:13" x14ac:dyDescent="0.2">
      <c r="A109" s="1" t="s">
        <v>31</v>
      </c>
      <c r="B109" s="19">
        <v>2.8225212108202828E-2</v>
      </c>
      <c r="C109" s="19">
        <v>2.5099061245113422E-2</v>
      </c>
      <c r="D109" s="19">
        <v>2.2447279894609765E-2</v>
      </c>
      <c r="E109" s="19">
        <v>2.3627402864710077E-2</v>
      </c>
      <c r="F109" s="19">
        <v>1.9293874618234761E-2</v>
      </c>
      <c r="G109" s="19">
        <v>4.5140617759350209E-2</v>
      </c>
      <c r="H109" s="19">
        <v>5.4052865282940801E-2</v>
      </c>
      <c r="I109" s="19">
        <v>3.3045748388813447E-2</v>
      </c>
      <c r="J109" s="19">
        <v>4.2114422666258658E-2</v>
      </c>
      <c r="K109" s="19">
        <v>4.0106442399821932E-2</v>
      </c>
      <c r="L109" s="19">
        <v>4.1826211234187241E-2</v>
      </c>
      <c r="M109" s="19">
        <v>4.2298766694678178E-2</v>
      </c>
    </row>
    <row r="110" spans="1:13" x14ac:dyDescent="0.2">
      <c r="A110" s="1" t="s">
        <v>32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</row>
    <row r="111" spans="1:13" x14ac:dyDescent="0.2">
      <c r="A111" s="1" t="s">
        <v>33</v>
      </c>
      <c r="B111" s="19">
        <v>2.3985667501728479E-3</v>
      </c>
      <c r="C111" s="19">
        <v>4.0688242959338351E-3</v>
      </c>
      <c r="D111" s="19">
        <v>5.2324661758997122E-3</v>
      </c>
      <c r="E111" s="19">
        <v>1.8260387311645958E-2</v>
      </c>
      <c r="F111" s="19">
        <v>1.9405831337489507E-2</v>
      </c>
      <c r="G111" s="19">
        <v>2.5283556134274743E-2</v>
      </c>
      <c r="H111" s="19">
        <v>2.7115463830314174E-2</v>
      </c>
      <c r="I111" s="19">
        <v>2.1815916144130091E-2</v>
      </c>
      <c r="J111" s="19">
        <v>2.1861440491091774E-2</v>
      </c>
      <c r="K111" s="19">
        <v>2.2234773416093336E-2</v>
      </c>
      <c r="L111" s="19">
        <v>1.8758099703941107E-2</v>
      </c>
      <c r="M111" s="19">
        <v>1.7485334980373957E-2</v>
      </c>
    </row>
    <row r="112" spans="1:13" x14ac:dyDescent="0.2">
      <c r="A112" s="1" t="s">
        <v>34</v>
      </c>
      <c r="B112" s="19">
        <v>5.6326672897654114E-3</v>
      </c>
      <c r="C112" s="19">
        <v>4.8493471265590509E-3</v>
      </c>
      <c r="D112" s="19">
        <v>5.4666190372712233E-3</v>
      </c>
      <c r="E112" s="19">
        <v>1.0499010520603926E-2</v>
      </c>
      <c r="F112" s="19">
        <v>1.3051569848505329E-2</v>
      </c>
      <c r="G112" s="19">
        <v>7.681270621054931E-3</v>
      </c>
      <c r="H112" s="19">
        <v>8.1018381847833883E-3</v>
      </c>
      <c r="I112" s="19">
        <v>1.1833690201005748E-2</v>
      </c>
      <c r="J112" s="19">
        <v>1.3925341141832097E-2</v>
      </c>
      <c r="K112" s="19">
        <v>1.4016003138428145E-2</v>
      </c>
      <c r="L112" s="19">
        <v>9.1703176471464157E-2</v>
      </c>
      <c r="M112" s="19">
        <v>0.1011489654168222</v>
      </c>
    </row>
    <row r="113" spans="1:13" x14ac:dyDescent="0.2">
      <c r="A113" s="1" t="s">
        <v>35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</row>
    <row r="114" spans="1:13" x14ac:dyDescent="0.2">
      <c r="A114" s="1" t="s">
        <v>36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</row>
    <row r="115" spans="1:13" x14ac:dyDescent="0.2">
      <c r="A115" s="1" t="s">
        <v>37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</row>
    <row r="116" spans="1:13" x14ac:dyDescent="0.2">
      <c r="A116" s="1" t="s">
        <v>38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</row>
    <row r="117" spans="1:13" x14ac:dyDescent="0.2">
      <c r="A117" s="1" t="s">
        <v>39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</row>
    <row r="118" spans="1:13" x14ac:dyDescent="0.2">
      <c r="A118" s="1" t="s">
        <v>40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</row>
    <row r="119" spans="1:13" x14ac:dyDescent="0.2">
      <c r="A119" s="1" t="s">
        <v>41</v>
      </c>
      <c r="B119" s="19">
        <v>7.2041957643916481E-3</v>
      </c>
      <c r="C119" s="19">
        <v>7.1802781692950034E-3</v>
      </c>
      <c r="D119" s="19">
        <v>6.4882580581156427E-3</v>
      </c>
      <c r="E119" s="19">
        <v>8.432253735175043E-3</v>
      </c>
      <c r="F119" s="19">
        <v>7.7508497945594189E-3</v>
      </c>
      <c r="G119" s="19">
        <v>8.9589770844398023E-3</v>
      </c>
      <c r="H119" s="19">
        <v>8.9968359252655325E-3</v>
      </c>
      <c r="I119" s="19">
        <v>8.3632263654672724E-3</v>
      </c>
      <c r="J119" s="19">
        <v>8.0422915796244335E-3</v>
      </c>
      <c r="K119" s="19">
        <v>7.80674749329675E-3</v>
      </c>
      <c r="L119" s="19">
        <v>7.590261993605036E-3</v>
      </c>
      <c r="M119" s="19">
        <v>7.1086355036172428E-3</v>
      </c>
    </row>
    <row r="120" spans="1:13" x14ac:dyDescent="0.2">
      <c r="A120" s="1" t="s">
        <v>42</v>
      </c>
      <c r="B120" s="19">
        <v>7.1288688747167973E-3</v>
      </c>
      <c r="C120" s="19">
        <v>6.3239635135494505E-3</v>
      </c>
      <c r="D120" s="19">
        <v>6.0068711699328694E-3</v>
      </c>
      <c r="E120" s="19">
        <v>1.004463738859027E-2</v>
      </c>
      <c r="F120" s="19">
        <v>1.0357431873618659E-2</v>
      </c>
      <c r="G120" s="19">
        <v>1.1340020658559373E-2</v>
      </c>
      <c r="H120" s="19">
        <v>1.1527196029246463E-2</v>
      </c>
      <c r="I120" s="19">
        <v>1.0602590267273311E-2</v>
      </c>
      <c r="J120" s="19">
        <v>1.0217108457494703E-2</v>
      </c>
      <c r="K120" s="19">
        <v>1.0195033948653457E-2</v>
      </c>
      <c r="L120" s="19">
        <v>9.3162005488387923E-3</v>
      </c>
      <c r="M120" s="19">
        <v>8.9979104428336374E-3</v>
      </c>
    </row>
    <row r="121" spans="1:13" x14ac:dyDescent="0.2">
      <c r="B121">
        <f>SUM(B97:B120)</f>
        <v>0.99999999999999989</v>
      </c>
      <c r="C121">
        <f t="shared" ref="C121:M121" si="26">SUM(C97:C120)</f>
        <v>1.0000000000000002</v>
      </c>
      <c r="D121">
        <f t="shared" si="26"/>
        <v>1.0000000000000002</v>
      </c>
      <c r="E121">
        <f t="shared" si="26"/>
        <v>1</v>
      </c>
      <c r="F121">
        <f t="shared" si="26"/>
        <v>0.99999999999999989</v>
      </c>
      <c r="G121">
        <f t="shared" si="26"/>
        <v>0.99999999999999989</v>
      </c>
      <c r="H121">
        <f t="shared" si="26"/>
        <v>1</v>
      </c>
      <c r="I121">
        <f t="shared" si="26"/>
        <v>1.0000000000000004</v>
      </c>
      <c r="J121">
        <f t="shared" si="26"/>
        <v>0.99999999999999978</v>
      </c>
      <c r="K121">
        <f t="shared" si="26"/>
        <v>1</v>
      </c>
      <c r="L121">
        <f t="shared" si="26"/>
        <v>1.0000000000000002</v>
      </c>
      <c r="M121">
        <f t="shared" si="26"/>
        <v>0.99999999999999944</v>
      </c>
    </row>
  </sheetData>
  <conditionalFormatting sqref="B39:Y50">
    <cfRule type="cellIs" dxfId="3" priority="1" operator="lessThan">
      <formula>0.025</formula>
    </cfRule>
    <cfRule type="cellIs" dxfId="2" priority="2" operator="between">
      <formula>0.025</formula>
      <formula>0.075</formula>
    </cfRule>
    <cfRule type="cellIs" dxfId="1" priority="3" operator="greaterThan">
      <formula>0.075</formula>
    </cfRule>
    <cfRule type="cellIs" dxfId="0" priority="4" operator="greaterThan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4ABC-5C49-1E47-90EF-22AF70A1E49E}">
  <dimension ref="A4:Y87"/>
  <sheetViews>
    <sheetView tabSelected="1" topLeftCell="A47" workbookViewId="0">
      <selection activeCell="U79" sqref="U79"/>
    </sheetView>
  </sheetViews>
  <sheetFormatPr baseColWidth="10" defaultRowHeight="16" x14ac:dyDescent="0.2"/>
  <sheetData>
    <row r="4" spans="1:25" s="8" customFormat="1" x14ac:dyDescent="0.2">
      <c r="A4" s="8" t="s">
        <v>14</v>
      </c>
    </row>
    <row r="6" spans="1:25" x14ac:dyDescent="0.2">
      <c r="B6" t="s">
        <v>19</v>
      </c>
      <c r="C6" t="s">
        <v>20</v>
      </c>
      <c r="D6" t="s">
        <v>21</v>
      </c>
      <c r="E6" t="s">
        <v>23</v>
      </c>
      <c r="F6" t="s">
        <v>22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 t="s">
        <v>34</v>
      </c>
      <c r="R6" t="s">
        <v>35</v>
      </c>
      <c r="S6" t="s">
        <v>36</v>
      </c>
      <c r="T6" t="s">
        <v>37</v>
      </c>
      <c r="U6" t="s">
        <v>38</v>
      </c>
      <c r="V6" t="s">
        <v>39</v>
      </c>
      <c r="W6" t="s">
        <v>40</v>
      </c>
      <c r="X6" t="s">
        <v>41</v>
      </c>
      <c r="Y6" t="s">
        <v>42</v>
      </c>
    </row>
    <row r="7" spans="1:25" x14ac:dyDescent="0.2">
      <c r="A7" t="s">
        <v>0</v>
      </c>
      <c r="B7">
        <v>162.79413264901498</v>
      </c>
      <c r="C7">
        <v>7.5361689621050001</v>
      </c>
      <c r="D7">
        <v>4.6480287945000001</v>
      </c>
      <c r="E7">
        <v>0.10573576860000002</v>
      </c>
      <c r="F7">
        <v>3.5062204799999998E-3</v>
      </c>
      <c r="G7">
        <v>-6.2752552835000003E-2</v>
      </c>
      <c r="H7">
        <v>2.3666501809999997E-2</v>
      </c>
      <c r="I7">
        <v>-2.1125164199999994E-2</v>
      </c>
      <c r="J7">
        <v>-0.21646906106000002</v>
      </c>
      <c r="K7">
        <v>0.83370965072499992</v>
      </c>
      <c r="L7">
        <v>4.3002883349999993E-3</v>
      </c>
      <c r="M7">
        <v>-0.140245540925</v>
      </c>
      <c r="N7">
        <v>-9.8633477600000005E-2</v>
      </c>
      <c r="O7">
        <v>-7.2870322559999992E-2</v>
      </c>
      <c r="P7">
        <v>0.1064477806</v>
      </c>
      <c r="Q7">
        <v>-0.22737557276000001</v>
      </c>
      <c r="R7">
        <v>1.3436627399999997E-3</v>
      </c>
      <c r="S7">
        <v>1.1075399999999999E-2</v>
      </c>
      <c r="T7">
        <v>-4.442342939999999E-3</v>
      </c>
      <c r="U7">
        <v>-7.3147622624999992E-2</v>
      </c>
      <c r="V7">
        <v>6.2539527119999994E-2</v>
      </c>
      <c r="W7">
        <v>-1.0192140420000001E-2</v>
      </c>
      <c r="X7">
        <v>0.27325717691999996</v>
      </c>
      <c r="Y7">
        <v>4.2220908450000001E-3</v>
      </c>
    </row>
    <row r="8" spans="1:25" x14ac:dyDescent="0.2">
      <c r="A8" t="s">
        <v>1</v>
      </c>
      <c r="B8">
        <v>126.32984100303</v>
      </c>
      <c r="C8">
        <v>8.5668369882899995</v>
      </c>
      <c r="D8">
        <v>4.7899934748749997</v>
      </c>
      <c r="E8">
        <v>0.13519449019999999</v>
      </c>
      <c r="F8">
        <v>8.7655511999999995E-4</v>
      </c>
      <c r="G8">
        <v>-5.3435579924999997E-2</v>
      </c>
      <c r="H8">
        <v>2.7685341739999998E-2</v>
      </c>
      <c r="I8">
        <v>-1.3278674639999998E-2</v>
      </c>
      <c r="J8">
        <v>-0.18912072143999997</v>
      </c>
      <c r="K8">
        <v>1.01671908625</v>
      </c>
      <c r="L8">
        <v>1.1467435560000001E-2</v>
      </c>
      <c r="M8">
        <v>-0.106720710425</v>
      </c>
      <c r="N8">
        <v>-6.1645923499999998E-2</v>
      </c>
      <c r="O8">
        <v>-7.9701915299999995E-2</v>
      </c>
      <c r="P8">
        <v>0.34595528695000005</v>
      </c>
      <c r="Q8">
        <v>-5.6843893190000001E-2</v>
      </c>
      <c r="R8">
        <v>2.1274660049999997E-3</v>
      </c>
      <c r="S8">
        <v>1.5367117499999999E-2</v>
      </c>
      <c r="T8">
        <v>1.1599451009999999E-2</v>
      </c>
      <c r="U8">
        <v>-2.8860966749999998E-2</v>
      </c>
      <c r="V8">
        <v>7.8301521759999992E-2</v>
      </c>
      <c r="W8">
        <v>-7.2580393900000002E-3</v>
      </c>
      <c r="X8">
        <v>0.28001353568999993</v>
      </c>
      <c r="Y8">
        <v>9.3824241000000004E-4</v>
      </c>
    </row>
    <row r="9" spans="1:25" x14ac:dyDescent="0.2">
      <c r="A9" t="s">
        <v>2</v>
      </c>
      <c r="B9">
        <v>100.42624584468001</v>
      </c>
      <c r="C9">
        <v>9.0868988363650001</v>
      </c>
      <c r="D9">
        <v>4.4219368961249996</v>
      </c>
      <c r="E9">
        <v>0.1404549762</v>
      </c>
      <c r="F9">
        <v>-6.4588272000000002E-4</v>
      </c>
      <c r="G9">
        <v>-5.2613494079999996E-2</v>
      </c>
      <c r="H9">
        <v>2.8131879509999996E-2</v>
      </c>
      <c r="I9">
        <v>-9.8584099599999999E-3</v>
      </c>
      <c r="J9">
        <v>-0.17475125485999998</v>
      </c>
      <c r="K9">
        <v>1.06552160239</v>
      </c>
      <c r="L9">
        <v>1.8156772970000002E-2</v>
      </c>
      <c r="M9">
        <v>-9.3310778225000002E-2</v>
      </c>
      <c r="N9">
        <v>-4.0069850274999999E-2</v>
      </c>
      <c r="O9">
        <v>-7.4767987209999998E-2</v>
      </c>
      <c r="P9">
        <v>0.43111351142999998</v>
      </c>
      <c r="Q9">
        <v>0.22737557276000001</v>
      </c>
      <c r="R9">
        <v>2.7246494449999995E-3</v>
      </c>
      <c r="S9">
        <v>1.6751542500000001E-2</v>
      </c>
      <c r="T9">
        <v>1.085906052E-2</v>
      </c>
      <c r="U9">
        <v>-7.9616459999999993E-3</v>
      </c>
      <c r="V9">
        <v>8.1860681839999991E-2</v>
      </c>
      <c r="W9">
        <v>-5.8682020600000001E-3</v>
      </c>
      <c r="X9">
        <v>0.26725152467999996</v>
      </c>
      <c r="Y9">
        <v>3.1274747000000001E-4</v>
      </c>
    </row>
    <row r="10" spans="1:25" x14ac:dyDescent="0.2">
      <c r="A10" t="s">
        <v>3</v>
      </c>
      <c r="B10">
        <v>110.78768390802001</v>
      </c>
      <c r="C10">
        <v>8.1413318398649999</v>
      </c>
      <c r="D10">
        <v>4.4745164073749999</v>
      </c>
      <c r="E10">
        <v>0.30089979919999993</v>
      </c>
      <c r="F10">
        <v>-1.074933384E-2</v>
      </c>
      <c r="G10">
        <v>-6.905521097999999E-2</v>
      </c>
      <c r="H10">
        <v>3.2820526094999997E-2</v>
      </c>
      <c r="I10">
        <v>-1.4687018919999998E-2</v>
      </c>
      <c r="J10">
        <v>-9.3633298359999992E-2</v>
      </c>
      <c r="K10">
        <v>1.4274735970949999</v>
      </c>
      <c r="L10">
        <v>6.7371183914999994E-2</v>
      </c>
      <c r="M10">
        <v>1.6762415249999999E-2</v>
      </c>
      <c r="N10">
        <v>9.3085344484999999E-2</v>
      </c>
      <c r="O10">
        <v>-7.894284943999999E-2</v>
      </c>
      <c r="P10">
        <v>0.97133599797499992</v>
      </c>
      <c r="Q10">
        <v>-1.6768948491049998</v>
      </c>
      <c r="R10">
        <v>4.3295799399999998E-3</v>
      </c>
      <c r="S10">
        <v>3.3641527499999997E-2</v>
      </c>
      <c r="T10">
        <v>4.3929835739999999E-2</v>
      </c>
      <c r="U10">
        <v>8.7080503124999986E-2</v>
      </c>
      <c r="V10">
        <v>0.10702902811999998</v>
      </c>
      <c r="W10">
        <v>3.2429537700000002E-3</v>
      </c>
      <c r="X10">
        <v>0.30929109035999997</v>
      </c>
      <c r="Y10">
        <v>1.4699131089999999E-2</v>
      </c>
    </row>
    <row r="11" spans="1:25" x14ac:dyDescent="0.2">
      <c r="A11" t="s">
        <v>4</v>
      </c>
      <c r="B11">
        <v>109.79139178654502</v>
      </c>
      <c r="C11">
        <v>7.7158266914399993</v>
      </c>
      <c r="D11">
        <v>4.4534846028750001</v>
      </c>
      <c r="E11">
        <v>0.31352496559999998</v>
      </c>
      <c r="F11">
        <v>-1.282538544E-2</v>
      </c>
      <c r="G11">
        <v>-6.8781182364999999E-2</v>
      </c>
      <c r="H11">
        <v>6.2068750029999994E-2</v>
      </c>
      <c r="I11">
        <v>3.8226487599999997E-3</v>
      </c>
      <c r="J11">
        <v>-8.8070924199999998E-2</v>
      </c>
      <c r="K11">
        <v>1.37460420461</v>
      </c>
      <c r="L11">
        <v>7.2627091880000008E-2</v>
      </c>
      <c r="M11">
        <v>2.1232392649999998E-2</v>
      </c>
      <c r="N11">
        <v>8.0139700549999998E-2</v>
      </c>
      <c r="O11">
        <v>-7.2111256699999987E-2</v>
      </c>
      <c r="P11">
        <v>1.0085927211850001</v>
      </c>
      <c r="Q11">
        <v>-1.81900458208</v>
      </c>
      <c r="R11">
        <v>4.0309882200000001E-3</v>
      </c>
      <c r="S11">
        <v>3.2810872499999998E-2</v>
      </c>
      <c r="T11">
        <v>4.8618975510000002E-2</v>
      </c>
      <c r="U11">
        <v>0.10499420662499999</v>
      </c>
      <c r="V11">
        <v>0.10448677091999999</v>
      </c>
      <c r="W11">
        <v>2.47082192E-3</v>
      </c>
      <c r="X11">
        <v>0.29427695976000001</v>
      </c>
      <c r="Y11">
        <v>1.6575615910000001E-2</v>
      </c>
    </row>
    <row r="12" spans="1:25" x14ac:dyDescent="0.2">
      <c r="A12" t="s">
        <v>5</v>
      </c>
      <c r="B12">
        <v>71.733032746199996</v>
      </c>
      <c r="C12">
        <v>7.5172576221749994</v>
      </c>
      <c r="D12">
        <v>3.7121134942499996</v>
      </c>
      <c r="E12">
        <v>0.37875499199999996</v>
      </c>
      <c r="F12">
        <v>-1.711589208E-2</v>
      </c>
      <c r="G12">
        <v>-7.3713697435000003E-2</v>
      </c>
      <c r="H12">
        <v>5.6933565674999992E-2</v>
      </c>
      <c r="I12">
        <v>3.8226487599999997E-3</v>
      </c>
      <c r="J12">
        <v>2.4567152539999998E-2</v>
      </c>
      <c r="K12">
        <v>1.8504287369750001</v>
      </c>
      <c r="L12">
        <v>0.12470836171499999</v>
      </c>
      <c r="M12">
        <v>0.14471551832500001</v>
      </c>
      <c r="N12">
        <v>0.17569088197499999</v>
      </c>
      <c r="O12">
        <v>-7.1352190839999996E-2</v>
      </c>
      <c r="P12">
        <v>1.3146300904099999</v>
      </c>
      <c r="Q12">
        <v>-2.1600679412199999</v>
      </c>
      <c r="R12">
        <v>5.1507071700000002E-3</v>
      </c>
      <c r="S12">
        <v>3.9456112499999994E-2</v>
      </c>
      <c r="T12">
        <v>5.997162969E-2</v>
      </c>
      <c r="U12">
        <v>0.16122333149999998</v>
      </c>
      <c r="V12">
        <v>0.12253679703999998</v>
      </c>
      <c r="W12">
        <v>9.88328768E-3</v>
      </c>
      <c r="X12">
        <v>0.30778967729999995</v>
      </c>
      <c r="Y12">
        <v>1.9546716874999998E-2</v>
      </c>
    </row>
    <row r="13" spans="1:25" x14ac:dyDescent="0.2">
      <c r="A13" t="s">
        <v>6</v>
      </c>
      <c r="B13">
        <v>62.168628380039998</v>
      </c>
      <c r="C13">
        <v>7.1673978334699999</v>
      </c>
      <c r="D13">
        <v>3.41766823125</v>
      </c>
      <c r="E13">
        <v>0.40347927619999996</v>
      </c>
      <c r="F13">
        <v>-1.8961271280000001E-2</v>
      </c>
      <c r="G13">
        <v>-8.2482613114999992E-2</v>
      </c>
      <c r="H13">
        <v>5.6040490134999989E-2</v>
      </c>
      <c r="I13">
        <v>3.4202646799999996E-3</v>
      </c>
      <c r="J13">
        <v>5.6087272779999996E-2</v>
      </c>
      <c r="K13">
        <v>1.8910975004249999</v>
      </c>
      <c r="L13">
        <v>0.139042656165</v>
      </c>
      <c r="M13">
        <v>0.179357843175</v>
      </c>
      <c r="N13">
        <v>0.20836322143</v>
      </c>
      <c r="O13">
        <v>-6.831592739999999E-2</v>
      </c>
      <c r="P13">
        <v>1.402449509405</v>
      </c>
      <c r="Q13">
        <v>-2.4158654605750001</v>
      </c>
      <c r="R13">
        <v>5.449298889999999E-3</v>
      </c>
      <c r="S13">
        <v>4.1671192499999996E-2</v>
      </c>
      <c r="T13">
        <v>6.2686394820000005E-2</v>
      </c>
      <c r="U13">
        <v>0.18112744649999998</v>
      </c>
      <c r="V13">
        <v>0.12507905423999999</v>
      </c>
      <c r="W13">
        <v>1.189083049E-2</v>
      </c>
      <c r="X13">
        <v>0.30403614465000001</v>
      </c>
      <c r="Y13">
        <v>2.1735949165000001E-2</v>
      </c>
    </row>
    <row r="14" spans="1:25" x14ac:dyDescent="0.2">
      <c r="A14" t="s">
        <v>7</v>
      </c>
      <c r="B14">
        <v>80.101886566590011</v>
      </c>
      <c r="C14">
        <v>8.0278638002849991</v>
      </c>
      <c r="D14">
        <v>3.9644951482500002</v>
      </c>
      <c r="E14">
        <v>0.3424576386</v>
      </c>
      <c r="F14">
        <v>-1.397874744E-2</v>
      </c>
      <c r="G14">
        <v>-7.6179954970000005E-2</v>
      </c>
      <c r="H14">
        <v>5.6040490134999989E-2</v>
      </c>
      <c r="I14">
        <v>1.0059601999999998E-3</v>
      </c>
      <c r="J14">
        <v>-2.3640090179999997E-2</v>
      </c>
      <c r="K14">
        <v>1.75689058104</v>
      </c>
      <c r="L14">
        <v>0.11228530652499999</v>
      </c>
      <c r="M14">
        <v>9.4428272575E-2</v>
      </c>
      <c r="N14">
        <v>0.13623749093499998</v>
      </c>
      <c r="O14">
        <v>-7.3629388419999997E-2</v>
      </c>
      <c r="P14">
        <v>1.1656031975699999</v>
      </c>
      <c r="Q14">
        <v>-1.9326923684600001</v>
      </c>
      <c r="R14">
        <v>4.8147914849999999E-3</v>
      </c>
      <c r="S14">
        <v>3.64103775E-2</v>
      </c>
      <c r="T14">
        <v>5.158053747E-2</v>
      </c>
      <c r="U14">
        <v>0.129874350375</v>
      </c>
      <c r="V14">
        <v>0.11668960548</v>
      </c>
      <c r="W14">
        <v>6.0226284299999995E-3</v>
      </c>
      <c r="X14">
        <v>0.30929109035999997</v>
      </c>
      <c r="Y14">
        <v>1.688836338E-2</v>
      </c>
    </row>
    <row r="15" spans="1:25" x14ac:dyDescent="0.2">
      <c r="A15" t="s">
        <v>8</v>
      </c>
      <c r="B15">
        <v>72.72932486767499</v>
      </c>
      <c r="C15">
        <v>8.0845978200749986</v>
      </c>
      <c r="D15">
        <v>3.7962407122499999</v>
      </c>
      <c r="E15">
        <v>0.34982231899999999</v>
      </c>
      <c r="F15">
        <v>-1.3794209519999998E-2</v>
      </c>
      <c r="G15">
        <v>-8.5222899264999999E-2</v>
      </c>
      <c r="H15">
        <v>4.7333003619999994E-2</v>
      </c>
      <c r="I15">
        <v>-4.0238407999999993E-3</v>
      </c>
      <c r="J15">
        <v>-1.5296528939999998E-2</v>
      </c>
      <c r="K15">
        <v>1.8260274789050002</v>
      </c>
      <c r="L15">
        <v>0.11371873597</v>
      </c>
      <c r="M15">
        <v>0.10225073302499998</v>
      </c>
      <c r="N15">
        <v>0.18370485203</v>
      </c>
      <c r="O15">
        <v>-7.6665651860000003E-2</v>
      </c>
      <c r="P15">
        <v>1.200198726265</v>
      </c>
      <c r="Q15">
        <v>-2.04638015484</v>
      </c>
      <c r="R15">
        <v>5.3746509599999987E-3</v>
      </c>
      <c r="S15">
        <v>3.8763900000000004E-2</v>
      </c>
      <c r="T15">
        <v>5.158053747E-2</v>
      </c>
      <c r="U15">
        <v>0.13136715899999998</v>
      </c>
      <c r="V15">
        <v>0.11974031411999997</v>
      </c>
      <c r="W15">
        <v>7.2580393900000002E-3</v>
      </c>
      <c r="X15">
        <v>0.30703897076999997</v>
      </c>
      <c r="Y15">
        <v>1.7670232054999999E-2</v>
      </c>
    </row>
    <row r="16" spans="1:25" x14ac:dyDescent="0.2">
      <c r="A16" t="s">
        <v>9</v>
      </c>
      <c r="B16">
        <v>69.740448503249993</v>
      </c>
      <c r="C16">
        <v>8.2642555494099987</v>
      </c>
      <c r="D16">
        <v>3.7594350543749999</v>
      </c>
      <c r="E16">
        <v>0.33877529839999998</v>
      </c>
      <c r="F16">
        <v>-1.2686982000000001E-2</v>
      </c>
      <c r="G16">
        <v>-8.1934555884999996E-2</v>
      </c>
      <c r="H16">
        <v>4.6439928079999991E-2</v>
      </c>
      <c r="I16">
        <v>-3.21907264E-3</v>
      </c>
      <c r="J16">
        <v>-1.9468309559999997E-2</v>
      </c>
      <c r="K16">
        <v>1.8097599735250001</v>
      </c>
      <c r="L16">
        <v>0.11180749671</v>
      </c>
      <c r="M16">
        <v>9.6104514099999996E-2</v>
      </c>
      <c r="N16">
        <v>0.17754025967999998</v>
      </c>
      <c r="O16">
        <v>-7.6286118929999994E-2</v>
      </c>
      <c r="P16">
        <v>1.2161658933550001</v>
      </c>
      <c r="Q16">
        <v>-1.8758484752700002</v>
      </c>
      <c r="R16">
        <v>5.6359187149999986E-3</v>
      </c>
      <c r="S16">
        <v>4.0009882499999996E-2</v>
      </c>
      <c r="T16">
        <v>5.207413113E-2</v>
      </c>
      <c r="U16">
        <v>0.12738633599999999</v>
      </c>
      <c r="V16">
        <v>0.12279102275999999</v>
      </c>
      <c r="W16">
        <v>8.8023030899999997E-3</v>
      </c>
      <c r="X16">
        <v>0.30403614465000001</v>
      </c>
      <c r="Y16">
        <v>1.6106494704999998E-2</v>
      </c>
    </row>
    <row r="17" spans="1:25" x14ac:dyDescent="0.2">
      <c r="A17" t="s">
        <v>10</v>
      </c>
      <c r="B17">
        <v>80.500403415180003</v>
      </c>
      <c r="C17">
        <v>7.8009277211249985</v>
      </c>
      <c r="D17">
        <v>3.8225304678749996</v>
      </c>
      <c r="E17">
        <v>0.35771304800000003</v>
      </c>
      <c r="F17">
        <v>-1.2410175120000002E-2</v>
      </c>
      <c r="G17">
        <v>-0.11152964630499998</v>
      </c>
      <c r="H17">
        <v>2.8578417279999994E-2</v>
      </c>
      <c r="I17">
        <v>-1.9515627879999997E-2</v>
      </c>
      <c r="J17">
        <v>-1.9468309559999997E-2</v>
      </c>
      <c r="K17">
        <v>1.8910975004249999</v>
      </c>
      <c r="L17">
        <v>0.117063404675</v>
      </c>
      <c r="M17">
        <v>0.10169198585</v>
      </c>
      <c r="N17">
        <v>0.19788341443500002</v>
      </c>
      <c r="O17">
        <v>-8.3117711669999997E-2</v>
      </c>
      <c r="P17">
        <v>1.2161658933550001</v>
      </c>
      <c r="Q17">
        <v>-5.5707015326200002</v>
      </c>
      <c r="R17">
        <v>5.1133832049999996E-3</v>
      </c>
      <c r="S17">
        <v>4.2501847499999995E-2</v>
      </c>
      <c r="T17">
        <v>5.133374064E-2</v>
      </c>
      <c r="U17">
        <v>0.11992229287499999</v>
      </c>
      <c r="V17">
        <v>0.12355369991999998</v>
      </c>
      <c r="W17">
        <v>8.3390239799999988E-3</v>
      </c>
      <c r="X17">
        <v>0.33331369931999999</v>
      </c>
      <c r="Y17">
        <v>1.9546716874999998E-2</v>
      </c>
    </row>
    <row r="18" spans="1:25" x14ac:dyDescent="0.2">
      <c r="A18" t="s">
        <v>11</v>
      </c>
      <c r="B18">
        <v>79.504111293705009</v>
      </c>
      <c r="C18">
        <v>7.9238514306700001</v>
      </c>
      <c r="D18">
        <v>3.6910816897499998</v>
      </c>
      <c r="E18">
        <v>0.34613997880000003</v>
      </c>
      <c r="F18">
        <v>-1.1395216559999999E-2</v>
      </c>
      <c r="G18">
        <v>-0.12386093397999999</v>
      </c>
      <c r="H18">
        <v>1.7638241914999998E-2</v>
      </c>
      <c r="I18">
        <v>-2.575258112E-2</v>
      </c>
      <c r="J18">
        <v>-3.1056589059999997E-2</v>
      </c>
      <c r="K18">
        <v>1.8870306240800001</v>
      </c>
      <c r="L18">
        <v>0.11371873597</v>
      </c>
      <c r="M18">
        <v>8.9399548000000009E-2</v>
      </c>
      <c r="N18">
        <v>0.20528092525500002</v>
      </c>
      <c r="O18">
        <v>-8.3117711669999997E-2</v>
      </c>
      <c r="P18">
        <v>1.1576196140249999</v>
      </c>
      <c r="Q18">
        <v>-5.854920998569999</v>
      </c>
      <c r="R18">
        <v>5.1507071700000002E-3</v>
      </c>
      <c r="S18">
        <v>4.19480775E-2</v>
      </c>
      <c r="T18">
        <v>4.4176632569999999E-2</v>
      </c>
      <c r="U18">
        <v>0.10797982387499999</v>
      </c>
      <c r="V18">
        <v>0.12126566843999999</v>
      </c>
      <c r="W18">
        <v>7.2580393900000002E-3</v>
      </c>
      <c r="X18">
        <v>0.32880946013999995</v>
      </c>
      <c r="Y18">
        <v>1.9546716874999998E-2</v>
      </c>
    </row>
    <row r="20" spans="1:25" x14ac:dyDescent="0.2">
      <c r="A20" s="7" t="s">
        <v>57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2" spans="1:25" x14ac:dyDescent="0.2">
      <c r="B22" s="1" t="s">
        <v>19</v>
      </c>
      <c r="C22" s="1" t="s">
        <v>20</v>
      </c>
      <c r="D22" s="1" t="s">
        <v>21</v>
      </c>
      <c r="E22" s="1" t="s">
        <v>23</v>
      </c>
      <c r="F22" s="1" t="s">
        <v>22</v>
      </c>
      <c r="G22" s="1" t="s">
        <v>24</v>
      </c>
      <c r="H22" s="1" t="s">
        <v>25</v>
      </c>
      <c r="I22" s="1" t="s">
        <v>26</v>
      </c>
      <c r="J22" s="1" t="s">
        <v>27</v>
      </c>
      <c r="K22" s="1" t="s">
        <v>28</v>
      </c>
      <c r="L22" s="1" t="s">
        <v>29</v>
      </c>
      <c r="M22" s="1" t="s">
        <v>30</v>
      </c>
      <c r="N22" s="1" t="s">
        <v>31</v>
      </c>
      <c r="O22" s="1" t="s">
        <v>32</v>
      </c>
      <c r="P22" s="1" t="s">
        <v>33</v>
      </c>
      <c r="Q22" s="1" t="s">
        <v>34</v>
      </c>
      <c r="R22" s="1" t="s">
        <v>35</v>
      </c>
      <c r="S22" s="1" t="s">
        <v>36</v>
      </c>
      <c r="T22" s="1" t="s">
        <v>37</v>
      </c>
      <c r="U22" s="1" t="s">
        <v>38</v>
      </c>
      <c r="V22" s="1" t="s">
        <v>39</v>
      </c>
      <c r="W22" s="1" t="s">
        <v>40</v>
      </c>
      <c r="X22" s="1" t="s">
        <v>41</v>
      </c>
      <c r="Y22" s="1" t="s">
        <v>42</v>
      </c>
    </row>
    <row r="23" spans="1:25" x14ac:dyDescent="0.2">
      <c r="A23" s="1" t="s">
        <v>0</v>
      </c>
      <c r="B23" s="16">
        <v>104.67</v>
      </c>
      <c r="C23" s="16">
        <v>3.43</v>
      </c>
      <c r="D23" s="16">
        <v>2.67</v>
      </c>
      <c r="E23" s="16">
        <v>4.4900000000000002E-2</v>
      </c>
      <c r="F23" s="16">
        <v>5.4000000000000003E-3</v>
      </c>
      <c r="G23" s="16">
        <v>-2.5999999999999999E-2</v>
      </c>
      <c r="H23" s="16">
        <v>8.0000000000000002E-3</v>
      </c>
      <c r="I23" s="16">
        <v>-1.2200000000000001E-2</v>
      </c>
      <c r="J23" s="16">
        <v>-0.14019999999999999</v>
      </c>
      <c r="K23" s="16">
        <v>0.48309999999999997</v>
      </c>
      <c r="L23" s="16">
        <v>-4.5400000000000003E-2</v>
      </c>
      <c r="M23" s="16">
        <v>-9.9199999999999997E-2</v>
      </c>
      <c r="N23" s="16">
        <v>-6.9699999999999998E-2</v>
      </c>
      <c r="O23" s="16">
        <v>-6.1899999999999997E-2</v>
      </c>
      <c r="P23" s="16">
        <v>8.4699999999999998E-2</v>
      </c>
      <c r="Q23" s="16">
        <v>-0.56830000000000003</v>
      </c>
      <c r="R23" s="16">
        <v>2.0999999999999999E-3</v>
      </c>
      <c r="S23" s="16">
        <v>1.41E-2</v>
      </c>
      <c r="T23" s="16">
        <v>1.78E-2</v>
      </c>
      <c r="U23" s="16">
        <v>-5.5399999999999998E-2</v>
      </c>
      <c r="V23" s="16">
        <v>2.3599999999999999E-2</v>
      </c>
      <c r="W23" s="16">
        <v>-2.5000000000000001E-3</v>
      </c>
      <c r="X23" s="16">
        <v>0.12720000000000001</v>
      </c>
      <c r="Y23" s="16">
        <v>3.0700000000000002E-2</v>
      </c>
    </row>
    <row r="24" spans="1:25" x14ac:dyDescent="0.2">
      <c r="A24" s="1" t="s">
        <v>1</v>
      </c>
      <c r="B24" s="16">
        <v>91.245000000000005</v>
      </c>
      <c r="C24" s="16">
        <v>3.8690000000000002</v>
      </c>
      <c r="D24" s="16">
        <v>2.8490000000000002</v>
      </c>
      <c r="E24" s="16">
        <v>4.7E-2</v>
      </c>
      <c r="F24" s="16">
        <v>5.0000000000000001E-3</v>
      </c>
      <c r="G24" s="16">
        <v>-2.3E-2</v>
      </c>
      <c r="H24" s="16">
        <v>5.0000000000000001E-3</v>
      </c>
      <c r="I24" s="16">
        <v>-1.2999999999999999E-2</v>
      </c>
      <c r="J24" s="16">
        <v>-0.13</v>
      </c>
      <c r="K24" s="16">
        <v>0.54900000000000004</v>
      </c>
      <c r="L24" s="16">
        <v>-4.5999999999999999E-2</v>
      </c>
      <c r="M24" s="16">
        <v>-8.5999999999999993E-2</v>
      </c>
      <c r="N24" s="16">
        <v>-6.6000000000000003E-2</v>
      </c>
      <c r="O24" s="16">
        <v>-6.4000000000000001E-2</v>
      </c>
      <c r="P24" s="16">
        <v>0.153</v>
      </c>
      <c r="Q24" s="16">
        <v>-0.52100000000000002</v>
      </c>
      <c r="R24" s="16">
        <v>3.0000000000000001E-3</v>
      </c>
      <c r="S24" s="16">
        <v>1.6E-2</v>
      </c>
      <c r="T24" s="16">
        <v>2.5000000000000001E-2</v>
      </c>
      <c r="U24" s="16">
        <v>-5.1999999999999998E-2</v>
      </c>
      <c r="V24" s="16">
        <v>2.9000000000000001E-2</v>
      </c>
      <c r="W24" s="16">
        <v>-3.0000000000000001E-3</v>
      </c>
      <c r="X24" s="16">
        <v>0.13500000000000001</v>
      </c>
      <c r="Y24" s="16">
        <v>2.9000000000000001E-2</v>
      </c>
    </row>
    <row r="25" spans="1:25" x14ac:dyDescent="0.2">
      <c r="A25" s="1" t="s">
        <v>2</v>
      </c>
      <c r="B25" s="16">
        <v>78.096999999999994</v>
      </c>
      <c r="C25" s="16">
        <v>4.2469999999999999</v>
      </c>
      <c r="D25" s="16">
        <v>2.6480000000000001</v>
      </c>
      <c r="E25" s="16">
        <v>4.3999999999999997E-2</v>
      </c>
      <c r="F25" s="16">
        <v>4.0000000000000001E-3</v>
      </c>
      <c r="G25" s="16">
        <v>-2.1999999999999999E-2</v>
      </c>
      <c r="H25" s="16">
        <v>5.0000000000000001E-3</v>
      </c>
      <c r="I25" s="16">
        <v>-1.0999999999999999E-2</v>
      </c>
      <c r="J25" s="16">
        <v>-0.122</v>
      </c>
      <c r="K25" s="16">
        <v>0.59599999999999997</v>
      </c>
      <c r="L25" s="16">
        <v>-3.9E-2</v>
      </c>
      <c r="M25" s="16">
        <v>-7.8E-2</v>
      </c>
      <c r="N25" s="16">
        <v>-0.06</v>
      </c>
      <c r="O25" s="16">
        <v>-6.0999999999999999E-2</v>
      </c>
      <c r="P25" s="16">
        <v>0.2</v>
      </c>
      <c r="Q25" s="16">
        <v>-0.59699999999999998</v>
      </c>
      <c r="R25" s="16">
        <v>3.0000000000000001E-3</v>
      </c>
      <c r="S25" s="16">
        <v>1.7000000000000001E-2</v>
      </c>
      <c r="T25" s="16">
        <v>2.5999999999999999E-2</v>
      </c>
      <c r="U25" s="16">
        <v>-4.5999999999999999E-2</v>
      </c>
      <c r="V25" s="16">
        <v>3.1E-2</v>
      </c>
      <c r="W25" s="16">
        <v>-2E-3</v>
      </c>
      <c r="X25" s="16">
        <v>0.124</v>
      </c>
      <c r="Y25" s="16">
        <v>2.8000000000000001E-2</v>
      </c>
    </row>
    <row r="26" spans="1:25" x14ac:dyDescent="0.2">
      <c r="A26" s="1" t="s">
        <v>3</v>
      </c>
      <c r="B26" s="16">
        <v>71.078999999999994</v>
      </c>
      <c r="C26" s="16">
        <v>2.996</v>
      </c>
      <c r="D26" s="16">
        <v>2.222</v>
      </c>
      <c r="E26" s="16">
        <v>0.183</v>
      </c>
      <c r="F26" s="16">
        <v>-5.0000000000000001E-3</v>
      </c>
      <c r="G26" s="16">
        <v>-2.8000000000000001E-2</v>
      </c>
      <c r="H26" s="16">
        <v>4.0000000000000001E-3</v>
      </c>
      <c r="I26" s="16">
        <v>-0.01</v>
      </c>
      <c r="J26" s="16">
        <v>-8.0000000000000002E-3</v>
      </c>
      <c r="K26" s="16">
        <v>0.81499999999999995</v>
      </c>
      <c r="L26" s="16">
        <v>1.4E-2</v>
      </c>
      <c r="M26" s="16">
        <v>5.6000000000000001E-2</v>
      </c>
      <c r="N26" s="16">
        <v>5.8000000000000003E-2</v>
      </c>
      <c r="O26" s="16">
        <v>-5.8000000000000003E-2</v>
      </c>
      <c r="P26" s="16">
        <v>0.64100000000000001</v>
      </c>
      <c r="Q26" s="16">
        <v>-1.0529999999999999</v>
      </c>
      <c r="R26" s="16">
        <v>4.0000000000000001E-3</v>
      </c>
      <c r="S26" s="16">
        <v>2.8000000000000001E-2</v>
      </c>
      <c r="T26" s="16">
        <v>3.4000000000000002E-2</v>
      </c>
      <c r="U26" s="16">
        <v>0.03</v>
      </c>
      <c r="V26" s="16">
        <v>4.2999999999999997E-2</v>
      </c>
      <c r="W26" s="16">
        <v>4.0000000000000001E-3</v>
      </c>
      <c r="X26" s="16">
        <v>0.14799999999999999</v>
      </c>
      <c r="Y26" s="16">
        <v>4.2999999999999997E-2</v>
      </c>
    </row>
    <row r="27" spans="1:25" x14ac:dyDescent="0.2">
      <c r="A27" s="1" t="s">
        <v>4</v>
      </c>
      <c r="B27" s="16">
        <v>71.155000000000001</v>
      </c>
      <c r="C27" s="16">
        <v>2.819</v>
      </c>
      <c r="D27" s="16">
        <v>2.218</v>
      </c>
      <c r="E27" s="16">
        <v>0.189</v>
      </c>
      <c r="F27" s="16">
        <v>-6.0000000000000001E-3</v>
      </c>
      <c r="G27" s="16">
        <v>-3.3000000000000002E-2</v>
      </c>
      <c r="H27" s="16">
        <v>2.4E-2</v>
      </c>
      <c r="I27" s="16">
        <v>5.0000000000000001E-3</v>
      </c>
      <c r="J27" s="16">
        <v>-1.7999999999999999E-2</v>
      </c>
      <c r="K27" s="16">
        <v>0.79500000000000004</v>
      </c>
      <c r="L27" s="16">
        <v>1.6E-2</v>
      </c>
      <c r="M27" s="16">
        <v>4.5999999999999999E-2</v>
      </c>
      <c r="N27" s="16">
        <v>4.7E-2</v>
      </c>
      <c r="O27" s="16">
        <v>-5.5E-2</v>
      </c>
      <c r="P27" s="16">
        <v>0.67600000000000005</v>
      </c>
      <c r="Q27" s="16">
        <v>-1.2989999999999999</v>
      </c>
      <c r="R27" s="16">
        <v>4.0000000000000001E-3</v>
      </c>
      <c r="S27" s="16">
        <v>2.9000000000000001E-2</v>
      </c>
      <c r="T27" s="16">
        <v>3.5999999999999997E-2</v>
      </c>
      <c r="U27" s="16">
        <v>4.1000000000000002E-2</v>
      </c>
      <c r="V27" s="16">
        <v>4.2000000000000003E-2</v>
      </c>
      <c r="W27" s="16">
        <v>4.0000000000000001E-3</v>
      </c>
      <c r="X27" s="16">
        <v>0.13500000000000001</v>
      </c>
      <c r="Y27" s="16">
        <v>4.3999999999999997E-2</v>
      </c>
    </row>
    <row r="28" spans="1:25" x14ac:dyDescent="0.2">
      <c r="A28" s="1" t="s">
        <v>5</v>
      </c>
      <c r="B28" s="16">
        <v>41.997999999999998</v>
      </c>
      <c r="C28" s="16">
        <v>2.3479999999999999</v>
      </c>
      <c r="D28" s="16">
        <v>1.4930000000000001</v>
      </c>
      <c r="E28" s="16">
        <v>0.23400000000000001</v>
      </c>
      <c r="F28" s="16">
        <v>-8.9999999999999993E-3</v>
      </c>
      <c r="G28" s="16">
        <v>-3.2000000000000001E-2</v>
      </c>
      <c r="H28" s="16">
        <v>1.4999999999999999E-2</v>
      </c>
      <c r="I28" s="16">
        <v>1E-3</v>
      </c>
      <c r="J28" s="16">
        <v>0.106</v>
      </c>
      <c r="K28" s="16">
        <v>1.1759999999999999</v>
      </c>
      <c r="L28" s="16">
        <v>0.08</v>
      </c>
      <c r="M28" s="16">
        <v>0.17799999999999999</v>
      </c>
      <c r="N28" s="16">
        <v>0.105</v>
      </c>
      <c r="O28" s="16">
        <v>-4.7E-2</v>
      </c>
      <c r="P28" s="16">
        <v>0.84099999999999997</v>
      </c>
      <c r="Q28" s="16">
        <v>-0.73</v>
      </c>
      <c r="R28" s="16">
        <v>4.0000000000000001E-3</v>
      </c>
      <c r="S28" s="16">
        <v>0.03</v>
      </c>
      <c r="T28" s="16">
        <v>3.6999999999999998E-2</v>
      </c>
      <c r="U28" s="16">
        <v>6.9000000000000006E-2</v>
      </c>
      <c r="V28" s="16">
        <v>5.0999999999999997E-2</v>
      </c>
      <c r="W28" s="16">
        <v>8.9999999999999993E-3</v>
      </c>
      <c r="X28" s="16">
        <v>0.14899999999999999</v>
      </c>
      <c r="Y28" s="16">
        <v>4.5999999999999999E-2</v>
      </c>
    </row>
    <row r="29" spans="1:25" x14ac:dyDescent="0.2">
      <c r="A29" s="1" t="s">
        <v>6</v>
      </c>
      <c r="B29" s="16">
        <v>34.966999999999999</v>
      </c>
      <c r="C29" s="16">
        <v>2.0750000000000002</v>
      </c>
      <c r="D29" s="16">
        <v>1.266</v>
      </c>
      <c r="E29" s="16">
        <v>0.24299999999999999</v>
      </c>
      <c r="F29" s="16">
        <v>-0.01</v>
      </c>
      <c r="G29" s="16">
        <v>-3.5999999999999997E-2</v>
      </c>
      <c r="H29" s="16">
        <v>1.2999999999999999E-2</v>
      </c>
      <c r="I29" s="16">
        <v>0</v>
      </c>
      <c r="J29" s="16">
        <v>0.129</v>
      </c>
      <c r="K29" s="16">
        <v>1.155</v>
      </c>
      <c r="L29" s="16">
        <v>9.0999999999999998E-2</v>
      </c>
      <c r="M29" s="16">
        <v>0.20100000000000001</v>
      </c>
      <c r="N29" s="16">
        <v>0.121</v>
      </c>
      <c r="O29" s="16">
        <v>-4.2999999999999997E-2</v>
      </c>
      <c r="P29" s="16">
        <v>0.86799999999999999</v>
      </c>
      <c r="Q29" s="16">
        <v>-0.74099999999999999</v>
      </c>
      <c r="R29" s="16">
        <v>4.0000000000000001E-3</v>
      </c>
      <c r="S29" s="16">
        <v>0.03</v>
      </c>
      <c r="T29" s="16">
        <v>3.5999999999999997E-2</v>
      </c>
      <c r="U29" s="16">
        <v>7.6999999999999999E-2</v>
      </c>
      <c r="V29" s="16">
        <v>0.05</v>
      </c>
      <c r="W29" s="16">
        <v>8.9999999999999993E-3</v>
      </c>
      <c r="X29" s="16">
        <v>0.14399999999999999</v>
      </c>
      <c r="Y29" s="16">
        <v>4.4999999999999998E-2</v>
      </c>
    </row>
    <row r="30" spans="1:25" x14ac:dyDescent="0.2">
      <c r="A30" s="1" t="s">
        <v>7</v>
      </c>
      <c r="B30" s="16">
        <v>52.399000000000001</v>
      </c>
      <c r="C30" s="16">
        <v>2.867</v>
      </c>
      <c r="D30" s="16">
        <v>1.827</v>
      </c>
      <c r="E30" s="16">
        <v>0.22</v>
      </c>
      <c r="F30" s="16">
        <v>-7.0000000000000001E-3</v>
      </c>
      <c r="G30" s="16">
        <v>-3.6999999999999998E-2</v>
      </c>
      <c r="H30" s="16">
        <v>1.7999999999999999E-2</v>
      </c>
      <c r="I30" s="16">
        <v>0</v>
      </c>
      <c r="J30" s="16">
        <v>6.3E-2</v>
      </c>
      <c r="K30" s="16">
        <v>1.181</v>
      </c>
      <c r="L30" s="16">
        <v>6.9000000000000006E-2</v>
      </c>
      <c r="M30" s="16">
        <v>0.14000000000000001</v>
      </c>
      <c r="N30" s="16">
        <v>8.4000000000000005E-2</v>
      </c>
      <c r="O30" s="16">
        <v>-5.3999999999999999E-2</v>
      </c>
      <c r="P30" s="16">
        <v>0.79300000000000004</v>
      </c>
      <c r="Q30" s="16">
        <v>-1.2290000000000001</v>
      </c>
      <c r="R30" s="16">
        <v>4.0000000000000001E-3</v>
      </c>
      <c r="S30" s="16">
        <v>3.1E-2</v>
      </c>
      <c r="T30" s="16">
        <v>3.7999999999999999E-2</v>
      </c>
      <c r="U30" s="16">
        <v>5.2999999999999999E-2</v>
      </c>
      <c r="V30" s="16">
        <v>5.0999999999999997E-2</v>
      </c>
      <c r="W30" s="16">
        <v>7.0000000000000001E-3</v>
      </c>
      <c r="X30" s="16">
        <v>0.152</v>
      </c>
      <c r="Y30" s="16">
        <v>4.7E-2</v>
      </c>
    </row>
    <row r="31" spans="1:25" x14ac:dyDescent="0.2">
      <c r="A31" s="1" t="s">
        <v>8</v>
      </c>
      <c r="B31" s="16">
        <v>46.298999999999999</v>
      </c>
      <c r="C31" s="16">
        <v>2.77</v>
      </c>
      <c r="D31" s="16">
        <v>1.653</v>
      </c>
      <c r="E31" s="16">
        <v>0.214</v>
      </c>
      <c r="F31" s="16">
        <v>-6.0000000000000001E-3</v>
      </c>
      <c r="G31" s="16">
        <v>-4.1000000000000002E-2</v>
      </c>
      <c r="H31" s="16">
        <v>1.2999999999999999E-2</v>
      </c>
      <c r="I31" s="16">
        <v>-2E-3</v>
      </c>
      <c r="J31" s="16">
        <v>6.5000000000000002E-2</v>
      </c>
      <c r="K31" s="16">
        <v>1.1319999999999999</v>
      </c>
      <c r="L31" s="16">
        <v>6.6000000000000003E-2</v>
      </c>
      <c r="M31" s="16">
        <v>0.13600000000000001</v>
      </c>
      <c r="N31" s="16">
        <v>0.104</v>
      </c>
      <c r="O31" s="16">
        <v>-5.0999999999999997E-2</v>
      </c>
      <c r="P31" s="16">
        <v>0.77200000000000002</v>
      </c>
      <c r="Q31" s="16">
        <v>-1.405</v>
      </c>
      <c r="R31" s="16">
        <v>4.0000000000000001E-3</v>
      </c>
      <c r="S31" s="16">
        <v>3.1E-2</v>
      </c>
      <c r="T31" s="16">
        <v>3.5999999999999997E-2</v>
      </c>
      <c r="U31" s="16">
        <v>5.0999999999999997E-2</v>
      </c>
      <c r="V31" s="16">
        <v>4.9000000000000002E-2</v>
      </c>
      <c r="W31" s="16">
        <v>7.0000000000000001E-3</v>
      </c>
      <c r="X31" s="16">
        <v>0.14199999999999999</v>
      </c>
      <c r="Y31" s="16">
        <v>4.3999999999999997E-2</v>
      </c>
    </row>
    <row r="32" spans="1:25" x14ac:dyDescent="0.2">
      <c r="A32" s="1" t="s">
        <v>9</v>
      </c>
      <c r="B32" s="16">
        <v>44.478000000000002</v>
      </c>
      <c r="C32" s="16">
        <v>2.8370000000000002</v>
      </c>
      <c r="D32" s="16">
        <v>1.611</v>
      </c>
      <c r="E32" s="16">
        <v>0.2</v>
      </c>
      <c r="F32" s="16">
        <v>-5.0000000000000001E-3</v>
      </c>
      <c r="G32" s="16">
        <v>-3.9E-2</v>
      </c>
      <c r="H32" s="16">
        <v>1.2999999999999999E-2</v>
      </c>
      <c r="I32" s="16">
        <v>-1E-3</v>
      </c>
      <c r="J32" s="16">
        <v>5.6000000000000001E-2</v>
      </c>
      <c r="K32" s="16">
        <v>1.099</v>
      </c>
      <c r="L32" s="16">
        <v>6.2E-2</v>
      </c>
      <c r="M32" s="16">
        <v>0.125</v>
      </c>
      <c r="N32" s="16">
        <v>9.7000000000000003E-2</v>
      </c>
      <c r="O32" s="16">
        <v>-5.0999999999999997E-2</v>
      </c>
      <c r="P32" s="16">
        <v>0.76900000000000002</v>
      </c>
      <c r="Q32" s="16">
        <v>-1.385</v>
      </c>
      <c r="R32" s="16">
        <v>4.0000000000000001E-3</v>
      </c>
      <c r="S32" s="16">
        <v>3.1E-2</v>
      </c>
      <c r="T32" s="16">
        <v>3.5999999999999997E-2</v>
      </c>
      <c r="U32" s="16">
        <v>4.5999999999999999E-2</v>
      </c>
      <c r="V32" s="16">
        <v>0.05</v>
      </c>
      <c r="W32" s="16">
        <v>8.0000000000000002E-3</v>
      </c>
      <c r="X32" s="16">
        <v>0.13500000000000001</v>
      </c>
      <c r="Y32" s="16">
        <v>4.2999999999999997E-2</v>
      </c>
    </row>
    <row r="33" spans="1:25" x14ac:dyDescent="0.2">
      <c r="A33" s="1" t="s">
        <v>10</v>
      </c>
      <c r="B33" s="16">
        <v>52.643000000000001</v>
      </c>
      <c r="C33" s="16">
        <v>2.82</v>
      </c>
      <c r="D33" s="16">
        <v>1.79</v>
      </c>
      <c r="E33" s="16">
        <v>0.23100000000000001</v>
      </c>
      <c r="F33" s="16">
        <v>-4.0000000000000001E-3</v>
      </c>
      <c r="G33" s="16">
        <v>-6.4000000000000001E-2</v>
      </c>
      <c r="H33" s="16">
        <v>4.0000000000000001E-3</v>
      </c>
      <c r="I33" s="16">
        <v>-8.0000000000000002E-3</v>
      </c>
      <c r="J33" s="16">
        <v>5.3999999999999999E-2</v>
      </c>
      <c r="K33" s="16">
        <v>1.2050000000000001</v>
      </c>
      <c r="L33" s="16">
        <v>6.0999999999999999E-2</v>
      </c>
      <c r="M33" s="16">
        <v>0.13300000000000001</v>
      </c>
      <c r="N33" s="16">
        <v>0.121</v>
      </c>
      <c r="O33" s="16">
        <v>-5.8999999999999997E-2</v>
      </c>
      <c r="P33" s="16">
        <v>0.77600000000000002</v>
      </c>
      <c r="Q33" s="16">
        <v>-10.839</v>
      </c>
      <c r="R33" s="16">
        <v>3.0000000000000001E-3</v>
      </c>
      <c r="S33" s="16">
        <v>3.5000000000000003E-2</v>
      </c>
      <c r="T33" s="16">
        <v>3.5999999999999997E-2</v>
      </c>
      <c r="U33" s="16">
        <v>0.04</v>
      </c>
      <c r="V33" s="16">
        <v>0.05</v>
      </c>
      <c r="W33" s="16">
        <v>7.0000000000000001E-3</v>
      </c>
      <c r="X33" s="16">
        <v>0.157</v>
      </c>
      <c r="Y33" s="16">
        <v>4.7E-2</v>
      </c>
    </row>
    <row r="34" spans="1:25" x14ac:dyDescent="0.2">
      <c r="A34" s="1" t="s">
        <v>11</v>
      </c>
      <c r="B34" s="16">
        <v>51.716999999999999</v>
      </c>
      <c r="C34" s="16">
        <v>2.915</v>
      </c>
      <c r="D34" s="16">
        <v>1.7190000000000001</v>
      </c>
      <c r="E34" s="16">
        <v>0.221</v>
      </c>
      <c r="F34" s="16">
        <v>-3.0000000000000001E-3</v>
      </c>
      <c r="G34" s="16">
        <v>-7.1999999999999995E-2</v>
      </c>
      <c r="H34" s="16">
        <v>-1E-3</v>
      </c>
      <c r="I34" s="16">
        <v>-0.01</v>
      </c>
      <c r="J34" s="16">
        <v>4.2000000000000003E-2</v>
      </c>
      <c r="K34" s="16">
        <v>1.1839999999999999</v>
      </c>
      <c r="L34" s="16">
        <v>5.8000000000000003E-2</v>
      </c>
      <c r="M34" s="16">
        <v>0.12</v>
      </c>
      <c r="N34" s="16">
        <v>0.124</v>
      </c>
      <c r="O34" s="16">
        <v>-5.8000000000000003E-2</v>
      </c>
      <c r="P34" s="16">
        <v>0.73299999999999998</v>
      </c>
      <c r="Q34" s="16">
        <v>-12.115</v>
      </c>
      <c r="R34" s="16">
        <v>3.0000000000000001E-3</v>
      </c>
      <c r="S34" s="16">
        <v>3.5000000000000003E-2</v>
      </c>
      <c r="T34" s="16">
        <v>3.4000000000000002E-2</v>
      </c>
      <c r="U34" s="16">
        <v>3.4000000000000002E-2</v>
      </c>
      <c r="V34" s="16">
        <v>4.7E-2</v>
      </c>
      <c r="W34" s="16">
        <v>6.0000000000000001E-3</v>
      </c>
      <c r="X34" s="16">
        <v>0.14899999999999999</v>
      </c>
      <c r="Y34" s="16">
        <v>4.5999999999999999E-2</v>
      </c>
    </row>
    <row r="36" spans="1:25" s="3" customFormat="1" x14ac:dyDescent="0.2">
      <c r="A36" s="2" t="s">
        <v>60</v>
      </c>
    </row>
    <row r="38" spans="1:25" x14ac:dyDescent="0.2">
      <c r="B38" s="1" t="s">
        <v>19</v>
      </c>
      <c r="C38" s="1" t="s">
        <v>20</v>
      </c>
      <c r="D38" s="1" t="s">
        <v>21</v>
      </c>
      <c r="E38" s="1" t="s">
        <v>23</v>
      </c>
      <c r="F38" s="1" t="s">
        <v>22</v>
      </c>
      <c r="G38" s="1" t="s">
        <v>24</v>
      </c>
      <c r="H38" s="1" t="s">
        <v>25</v>
      </c>
      <c r="I38" s="1" t="s">
        <v>26</v>
      </c>
      <c r="J38" s="1" t="s">
        <v>27</v>
      </c>
      <c r="K38" s="1" t="s">
        <v>28</v>
      </c>
      <c r="L38" s="1" t="s">
        <v>29</v>
      </c>
      <c r="M38" s="1" t="s">
        <v>30</v>
      </c>
      <c r="N38" s="1" t="s">
        <v>31</v>
      </c>
      <c r="O38" s="1" t="s">
        <v>32</v>
      </c>
      <c r="P38" s="1" t="s">
        <v>33</v>
      </c>
      <c r="Q38" s="1" t="s">
        <v>34</v>
      </c>
      <c r="R38" s="1" t="s">
        <v>35</v>
      </c>
      <c r="S38" s="1" t="s">
        <v>36</v>
      </c>
      <c r="T38" s="1" t="s">
        <v>37</v>
      </c>
      <c r="U38" s="1" t="s">
        <v>38</v>
      </c>
      <c r="V38" s="1" t="s">
        <v>39</v>
      </c>
      <c r="W38" s="1" t="s">
        <v>40</v>
      </c>
      <c r="X38" s="1" t="s">
        <v>41</v>
      </c>
      <c r="Y38" s="1" t="s">
        <v>42</v>
      </c>
    </row>
    <row r="39" spans="1:25" x14ac:dyDescent="0.2">
      <c r="A39" s="1" t="s">
        <v>0</v>
      </c>
      <c r="B39">
        <f>B7-B23</f>
        <v>58.124132649014982</v>
      </c>
      <c r="C39">
        <f t="shared" ref="C39:Y50" si="0">C7-C23</f>
        <v>4.1061689621050004</v>
      </c>
      <c r="D39">
        <f t="shared" si="0"/>
        <v>1.9780287945000001</v>
      </c>
      <c r="E39">
        <f t="shared" si="0"/>
        <v>6.0835768600000013E-2</v>
      </c>
      <c r="F39">
        <f t="shared" si="0"/>
        <v>-1.8937795200000005E-3</v>
      </c>
      <c r="G39">
        <f t="shared" si="0"/>
        <v>-3.6752552835000007E-2</v>
      </c>
      <c r="H39">
        <f t="shared" si="0"/>
        <v>1.5666501809999997E-2</v>
      </c>
      <c r="I39">
        <f t="shared" si="0"/>
        <v>-8.9251641999999933E-3</v>
      </c>
      <c r="J39">
        <f t="shared" si="0"/>
        <v>-7.6269061060000032E-2</v>
      </c>
      <c r="K39">
        <f t="shared" si="0"/>
        <v>0.35060965072499994</v>
      </c>
      <c r="L39">
        <f t="shared" si="0"/>
        <v>4.9700288335000002E-2</v>
      </c>
      <c r="M39">
        <f t="shared" si="0"/>
        <v>-4.1045540924999999E-2</v>
      </c>
      <c r="N39">
        <f t="shared" si="0"/>
        <v>-2.8933477600000007E-2</v>
      </c>
      <c r="O39">
        <f t="shared" si="0"/>
        <v>-1.0970322559999995E-2</v>
      </c>
      <c r="P39">
        <f t="shared" si="0"/>
        <v>2.1747780600000002E-2</v>
      </c>
      <c r="Q39">
        <f t="shared" si="0"/>
        <v>0.34092442724000005</v>
      </c>
      <c r="R39">
        <f t="shared" si="0"/>
        <v>-7.563372600000002E-4</v>
      </c>
      <c r="S39">
        <f t="shared" si="0"/>
        <v>-3.0246000000000006E-3</v>
      </c>
      <c r="T39">
        <f t="shared" si="0"/>
        <v>-2.224234294E-2</v>
      </c>
      <c r="U39">
        <f t="shared" si="0"/>
        <v>-1.7747622624999994E-2</v>
      </c>
      <c r="V39">
        <f t="shared" si="0"/>
        <v>3.8939527119999998E-2</v>
      </c>
      <c r="W39">
        <f t="shared" si="0"/>
        <v>-7.6921404200000001E-3</v>
      </c>
      <c r="X39">
        <f t="shared" si="0"/>
        <v>0.14605717691999995</v>
      </c>
      <c r="Y39">
        <f t="shared" si="0"/>
        <v>-2.6477909155E-2</v>
      </c>
    </row>
    <row r="40" spans="1:25" x14ac:dyDescent="0.2">
      <c r="A40" s="1" t="s">
        <v>1</v>
      </c>
      <c r="B40">
        <f t="shared" ref="B40:Q50" si="1">B8-B24</f>
        <v>35.084841003029993</v>
      </c>
      <c r="C40">
        <f t="shared" si="1"/>
        <v>4.6978369882899997</v>
      </c>
      <c r="D40">
        <f t="shared" si="1"/>
        <v>1.9409934748749995</v>
      </c>
      <c r="E40">
        <f t="shared" si="1"/>
        <v>8.8194490199999989E-2</v>
      </c>
      <c r="F40">
        <f t="shared" si="1"/>
        <v>-4.1234448800000004E-3</v>
      </c>
      <c r="G40">
        <f t="shared" si="1"/>
        <v>-3.0435579924999998E-2</v>
      </c>
      <c r="H40">
        <f t="shared" si="1"/>
        <v>2.2685341739999997E-2</v>
      </c>
      <c r="I40">
        <f t="shared" si="1"/>
        <v>-2.7867463999999877E-4</v>
      </c>
      <c r="J40">
        <f t="shared" si="1"/>
        <v>-5.9120721439999968E-2</v>
      </c>
      <c r="K40">
        <f t="shared" si="1"/>
        <v>0.46771908624999992</v>
      </c>
      <c r="L40">
        <f t="shared" si="1"/>
        <v>5.7467435560000002E-2</v>
      </c>
      <c r="M40">
        <f t="shared" si="1"/>
        <v>-2.0720710425000011E-2</v>
      </c>
      <c r="N40">
        <f t="shared" si="1"/>
        <v>4.3540765000000051E-3</v>
      </c>
      <c r="O40">
        <f t="shared" si="1"/>
        <v>-1.5701915299999994E-2</v>
      </c>
      <c r="P40">
        <f t="shared" si="1"/>
        <v>0.19295528695000005</v>
      </c>
      <c r="Q40">
        <f t="shared" si="1"/>
        <v>0.46415610681000002</v>
      </c>
      <c r="R40">
        <f t="shared" si="0"/>
        <v>-8.7253399500000035E-4</v>
      </c>
      <c r="S40">
        <f t="shared" si="0"/>
        <v>-6.3288250000000101E-4</v>
      </c>
      <c r="T40">
        <f t="shared" si="0"/>
        <v>-1.3400548990000002E-2</v>
      </c>
      <c r="U40">
        <f t="shared" si="0"/>
        <v>2.313903325E-2</v>
      </c>
      <c r="V40">
        <f t="shared" si="0"/>
        <v>4.9301521759999994E-2</v>
      </c>
      <c r="W40">
        <f t="shared" si="0"/>
        <v>-4.2580393900000001E-3</v>
      </c>
      <c r="X40">
        <f t="shared" si="0"/>
        <v>0.14501353568999992</v>
      </c>
      <c r="Y40">
        <f t="shared" si="0"/>
        <v>-2.806175759E-2</v>
      </c>
    </row>
    <row r="41" spans="1:25" x14ac:dyDescent="0.2">
      <c r="A41" s="1" t="s">
        <v>2</v>
      </c>
      <c r="B41">
        <f t="shared" si="1"/>
        <v>22.329245844680017</v>
      </c>
      <c r="C41">
        <f t="shared" si="0"/>
        <v>4.8398988363650002</v>
      </c>
      <c r="D41">
        <f t="shared" si="0"/>
        <v>1.7739368961249995</v>
      </c>
      <c r="E41">
        <f t="shared" si="0"/>
        <v>9.64549762E-2</v>
      </c>
      <c r="F41">
        <f t="shared" si="0"/>
        <v>-4.6458827200000002E-3</v>
      </c>
      <c r="G41">
        <f t="shared" si="0"/>
        <v>-3.0613494079999998E-2</v>
      </c>
      <c r="H41">
        <f t="shared" si="0"/>
        <v>2.3131879509999995E-2</v>
      </c>
      <c r="I41">
        <f t="shared" si="0"/>
        <v>1.1415900399999995E-3</v>
      </c>
      <c r="J41">
        <f t="shared" si="0"/>
        <v>-5.2751254859999985E-2</v>
      </c>
      <c r="K41">
        <f t="shared" si="0"/>
        <v>0.46952160239000007</v>
      </c>
      <c r="L41">
        <f t="shared" si="0"/>
        <v>5.7156772970000005E-2</v>
      </c>
      <c r="M41">
        <f t="shared" si="0"/>
        <v>-1.5310778225000002E-2</v>
      </c>
      <c r="N41">
        <f t="shared" si="0"/>
        <v>1.9930149724999999E-2</v>
      </c>
      <c r="O41">
        <f t="shared" si="0"/>
        <v>-1.3767987209999999E-2</v>
      </c>
      <c r="P41">
        <f t="shared" si="0"/>
        <v>0.23111351142999997</v>
      </c>
      <c r="Q41">
        <f t="shared" si="0"/>
        <v>0.82437557275999995</v>
      </c>
      <c r="R41">
        <f t="shared" si="0"/>
        <v>-2.7535055500000055E-4</v>
      </c>
      <c r="S41">
        <f t="shared" si="0"/>
        <v>-2.4845750000000028E-4</v>
      </c>
      <c r="T41">
        <f t="shared" si="0"/>
        <v>-1.5140939479999999E-2</v>
      </c>
      <c r="U41">
        <f t="shared" si="0"/>
        <v>3.8038353999999996E-2</v>
      </c>
      <c r="V41">
        <f t="shared" si="0"/>
        <v>5.0860681839999991E-2</v>
      </c>
      <c r="W41">
        <f t="shared" si="0"/>
        <v>-3.86820206E-3</v>
      </c>
      <c r="X41">
        <f t="shared" si="0"/>
        <v>0.14325152467999996</v>
      </c>
      <c r="Y41">
        <f t="shared" si="0"/>
        <v>-2.7687252530000001E-2</v>
      </c>
    </row>
    <row r="42" spans="1:25" x14ac:dyDescent="0.2">
      <c r="A42" s="1" t="s">
        <v>3</v>
      </c>
      <c r="B42">
        <f t="shared" si="1"/>
        <v>39.708683908020021</v>
      </c>
      <c r="C42">
        <f t="shared" si="0"/>
        <v>5.1453318398649994</v>
      </c>
      <c r="D42">
        <f t="shared" si="0"/>
        <v>2.2525164073749999</v>
      </c>
      <c r="E42">
        <f t="shared" si="0"/>
        <v>0.11789979919999993</v>
      </c>
      <c r="F42">
        <f t="shared" si="0"/>
        <v>-5.7493338399999998E-3</v>
      </c>
      <c r="G42">
        <f t="shared" si="0"/>
        <v>-4.1055210979999993E-2</v>
      </c>
      <c r="H42">
        <f t="shared" si="0"/>
        <v>2.8820526094999997E-2</v>
      </c>
      <c r="I42">
        <f t="shared" si="0"/>
        <v>-4.6870189199999975E-3</v>
      </c>
      <c r="J42">
        <f t="shared" si="0"/>
        <v>-8.5633298359999999E-2</v>
      </c>
      <c r="K42">
        <f t="shared" si="0"/>
        <v>0.61247359709499993</v>
      </c>
      <c r="L42">
        <f t="shared" si="0"/>
        <v>5.3371183914999995E-2</v>
      </c>
      <c r="M42">
        <f t="shared" si="0"/>
        <v>-3.9237584749999999E-2</v>
      </c>
      <c r="N42">
        <f t="shared" si="0"/>
        <v>3.5085344484999996E-2</v>
      </c>
      <c r="O42">
        <f t="shared" si="0"/>
        <v>-2.0942849439999987E-2</v>
      </c>
      <c r="P42">
        <f t="shared" si="0"/>
        <v>0.33033599797499991</v>
      </c>
      <c r="Q42">
        <f t="shared" si="0"/>
        <v>-0.62389484910499982</v>
      </c>
      <c r="R42">
        <f t="shared" si="0"/>
        <v>3.295799399999997E-4</v>
      </c>
      <c r="S42">
        <f t="shared" si="0"/>
        <v>5.6415274999999966E-3</v>
      </c>
      <c r="T42">
        <f t="shared" si="0"/>
        <v>9.9298357399999967E-3</v>
      </c>
      <c r="U42">
        <f t="shared" si="0"/>
        <v>5.7080503124999987E-2</v>
      </c>
      <c r="V42">
        <f t="shared" si="0"/>
        <v>6.4029028119999984E-2</v>
      </c>
      <c r="W42">
        <f t="shared" si="0"/>
        <v>-7.5704622999999988E-4</v>
      </c>
      <c r="X42">
        <f t="shared" si="0"/>
        <v>0.16129109035999997</v>
      </c>
      <c r="Y42">
        <f t="shared" si="0"/>
        <v>-2.8300868909999999E-2</v>
      </c>
    </row>
    <row r="43" spans="1:25" x14ac:dyDescent="0.2">
      <c r="A43" s="1" t="s">
        <v>4</v>
      </c>
      <c r="B43">
        <f t="shared" si="1"/>
        <v>38.636391786545019</v>
      </c>
      <c r="C43">
        <f t="shared" si="0"/>
        <v>4.8968266914399994</v>
      </c>
      <c r="D43">
        <f t="shared" si="0"/>
        <v>2.2354846028750002</v>
      </c>
      <c r="E43">
        <f t="shared" si="0"/>
        <v>0.12452496559999998</v>
      </c>
      <c r="F43">
        <f t="shared" si="0"/>
        <v>-6.8253854399999998E-3</v>
      </c>
      <c r="G43">
        <f t="shared" si="0"/>
        <v>-3.5781182364999997E-2</v>
      </c>
      <c r="H43">
        <f t="shared" si="0"/>
        <v>3.8068750029999994E-2</v>
      </c>
      <c r="I43">
        <f t="shared" si="0"/>
        <v>-1.1773512400000004E-3</v>
      </c>
      <c r="J43">
        <f t="shared" si="0"/>
        <v>-7.0070924199999995E-2</v>
      </c>
      <c r="K43">
        <f t="shared" si="0"/>
        <v>0.57960420460999995</v>
      </c>
      <c r="L43">
        <f t="shared" si="0"/>
        <v>5.6627091880000008E-2</v>
      </c>
      <c r="M43">
        <f t="shared" si="0"/>
        <v>-2.4767607350000002E-2</v>
      </c>
      <c r="N43">
        <f t="shared" si="0"/>
        <v>3.3139700549999998E-2</v>
      </c>
      <c r="O43">
        <f t="shared" si="0"/>
        <v>-1.7111256699999987E-2</v>
      </c>
      <c r="P43">
        <f t="shared" si="0"/>
        <v>0.33259272118500005</v>
      </c>
      <c r="Q43">
        <f t="shared" si="0"/>
        <v>-0.52000458208000011</v>
      </c>
      <c r="R43">
        <f t="shared" si="0"/>
        <v>3.0988220000000011E-5</v>
      </c>
      <c r="S43">
        <f t="shared" si="0"/>
        <v>3.8108724999999961E-3</v>
      </c>
      <c r="T43">
        <f t="shared" si="0"/>
        <v>1.2618975510000005E-2</v>
      </c>
      <c r="U43">
        <f t="shared" si="0"/>
        <v>6.3994206624999994E-2</v>
      </c>
      <c r="V43">
        <f t="shared" si="0"/>
        <v>6.2486770919999983E-2</v>
      </c>
      <c r="W43">
        <f t="shared" si="0"/>
        <v>-1.5291780800000001E-3</v>
      </c>
      <c r="X43">
        <f t="shared" si="0"/>
        <v>0.15927695976</v>
      </c>
      <c r="Y43">
        <f t="shared" si="0"/>
        <v>-2.7424384089999997E-2</v>
      </c>
    </row>
    <row r="44" spans="1:25" x14ac:dyDescent="0.2">
      <c r="A44" s="1" t="s">
        <v>5</v>
      </c>
      <c r="B44">
        <f t="shared" si="1"/>
        <v>29.735032746199998</v>
      </c>
      <c r="C44">
        <f t="shared" si="0"/>
        <v>5.1692576221749995</v>
      </c>
      <c r="D44">
        <f t="shared" si="0"/>
        <v>2.2191134942499993</v>
      </c>
      <c r="E44">
        <f t="shared" si="0"/>
        <v>0.14475499199999994</v>
      </c>
      <c r="F44">
        <f t="shared" si="0"/>
        <v>-8.115892080000001E-3</v>
      </c>
      <c r="G44">
        <f t="shared" si="0"/>
        <v>-4.1713697435000002E-2</v>
      </c>
      <c r="H44">
        <f t="shared" si="0"/>
        <v>4.1933565674999992E-2</v>
      </c>
      <c r="I44">
        <f t="shared" si="0"/>
        <v>2.8226487599999996E-3</v>
      </c>
      <c r="J44">
        <f t="shared" si="0"/>
        <v>-8.1432847459999999E-2</v>
      </c>
      <c r="K44">
        <f t="shared" si="0"/>
        <v>0.67442873697500016</v>
      </c>
      <c r="L44">
        <f t="shared" si="0"/>
        <v>4.4708361714999992E-2</v>
      </c>
      <c r="M44">
        <f t="shared" si="0"/>
        <v>-3.3284481674999977E-2</v>
      </c>
      <c r="N44">
        <f t="shared" si="0"/>
        <v>7.0690881974999994E-2</v>
      </c>
      <c r="O44">
        <f t="shared" si="0"/>
        <v>-2.4352190839999996E-2</v>
      </c>
      <c r="P44">
        <f t="shared" si="0"/>
        <v>0.47363009040999993</v>
      </c>
      <c r="Q44">
        <f t="shared" si="0"/>
        <v>-1.4300679412199999</v>
      </c>
      <c r="R44">
        <f t="shared" si="0"/>
        <v>1.1507071700000001E-3</v>
      </c>
      <c r="S44">
        <f t="shared" si="0"/>
        <v>9.4561124999999954E-3</v>
      </c>
      <c r="T44">
        <f t="shared" si="0"/>
        <v>2.2971629690000002E-2</v>
      </c>
      <c r="U44">
        <f t="shared" si="0"/>
        <v>9.2223331499999978E-2</v>
      </c>
      <c r="V44">
        <f t="shared" si="0"/>
        <v>7.1536797039999989E-2</v>
      </c>
      <c r="W44">
        <f t="shared" si="0"/>
        <v>8.8328768000000071E-4</v>
      </c>
      <c r="X44">
        <f t="shared" si="0"/>
        <v>0.15878967729999996</v>
      </c>
      <c r="Y44">
        <f t="shared" si="0"/>
        <v>-2.6453283125000001E-2</v>
      </c>
    </row>
    <row r="45" spans="1:25" x14ac:dyDescent="0.2">
      <c r="A45" s="1" t="s">
        <v>6</v>
      </c>
      <c r="B45">
        <f t="shared" si="1"/>
        <v>27.201628380039999</v>
      </c>
      <c r="C45">
        <f t="shared" si="0"/>
        <v>5.0923978334699997</v>
      </c>
      <c r="D45">
        <f t="shared" si="0"/>
        <v>2.15166823125</v>
      </c>
      <c r="E45">
        <f t="shared" si="0"/>
        <v>0.16047927619999997</v>
      </c>
      <c r="F45">
        <f t="shared" si="0"/>
        <v>-8.9612712800000004E-3</v>
      </c>
      <c r="G45">
        <f t="shared" si="0"/>
        <v>-4.6482613114999995E-2</v>
      </c>
      <c r="H45">
        <f t="shared" si="0"/>
        <v>4.3040490134999991E-2</v>
      </c>
      <c r="I45">
        <f t="shared" si="0"/>
        <v>3.4202646799999996E-3</v>
      </c>
      <c r="J45">
        <f t="shared" si="0"/>
        <v>-7.2912727220000001E-2</v>
      </c>
      <c r="K45">
        <f t="shared" si="0"/>
        <v>0.73609750042499988</v>
      </c>
      <c r="L45">
        <f t="shared" si="0"/>
        <v>4.8042656165000003E-2</v>
      </c>
      <c r="M45">
        <f t="shared" si="0"/>
        <v>-2.1642156825000008E-2</v>
      </c>
      <c r="N45">
        <f t="shared" si="0"/>
        <v>8.7363221429999999E-2</v>
      </c>
      <c r="O45">
        <f t="shared" si="0"/>
        <v>-2.5315927399999993E-2</v>
      </c>
      <c r="P45">
        <f t="shared" si="0"/>
        <v>0.53444950940500002</v>
      </c>
      <c r="Q45">
        <f t="shared" si="0"/>
        <v>-1.674865460575</v>
      </c>
      <c r="R45">
        <f t="shared" si="0"/>
        <v>1.449298889999999E-3</v>
      </c>
      <c r="S45">
        <f t="shared" si="0"/>
        <v>1.1671192499999997E-2</v>
      </c>
      <c r="T45">
        <f t="shared" si="0"/>
        <v>2.6686394820000008E-2</v>
      </c>
      <c r="U45">
        <f t="shared" si="0"/>
        <v>0.10412744649999998</v>
      </c>
      <c r="V45">
        <f t="shared" si="0"/>
        <v>7.5079054239999984E-2</v>
      </c>
      <c r="W45">
        <f t="shared" si="0"/>
        <v>2.8908304900000011E-3</v>
      </c>
      <c r="X45">
        <f t="shared" si="0"/>
        <v>0.16003614465000002</v>
      </c>
      <c r="Y45">
        <f t="shared" si="0"/>
        <v>-2.3264050834999998E-2</v>
      </c>
    </row>
    <row r="46" spans="1:25" x14ac:dyDescent="0.2">
      <c r="A46" s="1" t="s">
        <v>7</v>
      </c>
      <c r="B46">
        <f t="shared" si="1"/>
        <v>27.70288656659001</v>
      </c>
      <c r="C46">
        <f t="shared" si="0"/>
        <v>5.1608638002849991</v>
      </c>
      <c r="D46">
        <f t="shared" si="0"/>
        <v>2.1374951482500002</v>
      </c>
      <c r="E46">
        <f t="shared" si="0"/>
        <v>0.1224576386</v>
      </c>
      <c r="F46">
        <f t="shared" si="0"/>
        <v>-6.9787474399999995E-3</v>
      </c>
      <c r="G46">
        <f t="shared" si="0"/>
        <v>-3.9179954970000007E-2</v>
      </c>
      <c r="H46">
        <f t="shared" si="0"/>
        <v>3.8040490134999994E-2</v>
      </c>
      <c r="I46">
        <f t="shared" si="0"/>
        <v>1.0059601999999998E-3</v>
      </c>
      <c r="J46">
        <f t="shared" si="0"/>
        <v>-8.664009017999999E-2</v>
      </c>
      <c r="K46">
        <f t="shared" si="0"/>
        <v>0.5758905810399999</v>
      </c>
      <c r="L46">
        <f t="shared" si="0"/>
        <v>4.3285306524999984E-2</v>
      </c>
      <c r="M46">
        <f t="shared" si="0"/>
        <v>-4.5571727425000014E-2</v>
      </c>
      <c r="N46">
        <f t="shared" si="0"/>
        <v>5.2237490934999978E-2</v>
      </c>
      <c r="O46">
        <f t="shared" si="0"/>
        <v>-1.9629388419999998E-2</v>
      </c>
      <c r="P46">
        <f t="shared" si="0"/>
        <v>0.37260319756999982</v>
      </c>
      <c r="Q46">
        <f t="shared" si="0"/>
        <v>-0.70369236846000005</v>
      </c>
      <c r="R46">
        <f t="shared" si="0"/>
        <v>8.1479148499999984E-4</v>
      </c>
      <c r="S46">
        <f t="shared" si="0"/>
        <v>5.4103775000000007E-3</v>
      </c>
      <c r="T46">
        <f t="shared" si="0"/>
        <v>1.3580537470000001E-2</v>
      </c>
      <c r="U46">
        <f t="shared" si="0"/>
        <v>7.6874350375000011E-2</v>
      </c>
      <c r="V46">
        <f t="shared" si="0"/>
        <v>6.5689605479999996E-2</v>
      </c>
      <c r="W46">
        <f t="shared" si="0"/>
        <v>-9.7737157000000064E-4</v>
      </c>
      <c r="X46">
        <f t="shared" si="0"/>
        <v>0.15729109035999997</v>
      </c>
      <c r="Y46">
        <f t="shared" si="0"/>
        <v>-3.011163662E-2</v>
      </c>
    </row>
    <row r="47" spans="1:25" x14ac:dyDescent="0.2">
      <c r="A47" s="1" t="s">
        <v>8</v>
      </c>
      <c r="B47">
        <f t="shared" si="1"/>
        <v>26.43032486767499</v>
      </c>
      <c r="C47">
        <f t="shared" si="0"/>
        <v>5.314597820074999</v>
      </c>
      <c r="D47">
        <f t="shared" si="0"/>
        <v>2.1432407122499999</v>
      </c>
      <c r="E47">
        <f t="shared" si="0"/>
        <v>0.135822319</v>
      </c>
      <c r="F47">
        <f t="shared" si="0"/>
        <v>-7.7942095199999978E-3</v>
      </c>
      <c r="G47">
        <f t="shared" si="0"/>
        <v>-4.4222899264999997E-2</v>
      </c>
      <c r="H47">
        <f t="shared" si="0"/>
        <v>3.4333003619999997E-2</v>
      </c>
      <c r="I47">
        <f t="shared" si="0"/>
        <v>-2.0238407999999992E-3</v>
      </c>
      <c r="J47">
        <f t="shared" si="0"/>
        <v>-8.029652894E-2</v>
      </c>
      <c r="K47">
        <f t="shared" si="0"/>
        <v>0.69402747890500027</v>
      </c>
      <c r="L47">
        <f t="shared" si="0"/>
        <v>4.7718735969999995E-2</v>
      </c>
      <c r="M47">
        <f t="shared" si="0"/>
        <v>-3.3749266975000025E-2</v>
      </c>
      <c r="N47">
        <f t="shared" si="0"/>
        <v>7.9704852030000009E-2</v>
      </c>
      <c r="O47">
        <f t="shared" si="0"/>
        <v>-2.5665651860000006E-2</v>
      </c>
      <c r="P47">
        <f t="shared" si="0"/>
        <v>0.428198726265</v>
      </c>
      <c r="Q47">
        <f t="shared" si="0"/>
        <v>-0.64138015483999999</v>
      </c>
      <c r="R47">
        <f t="shared" si="0"/>
        <v>1.3746509599999986E-3</v>
      </c>
      <c r="S47">
        <f t="shared" si="0"/>
        <v>7.7639000000000041E-3</v>
      </c>
      <c r="T47">
        <f t="shared" si="0"/>
        <v>1.5580537470000003E-2</v>
      </c>
      <c r="U47">
        <f t="shared" si="0"/>
        <v>8.0367158999999994E-2</v>
      </c>
      <c r="V47">
        <f t="shared" si="0"/>
        <v>7.0740314119999967E-2</v>
      </c>
      <c r="W47">
        <f t="shared" si="0"/>
        <v>2.5803939000000001E-4</v>
      </c>
      <c r="X47">
        <f t="shared" si="0"/>
        <v>0.16503897076999999</v>
      </c>
      <c r="Y47">
        <f t="shared" si="0"/>
        <v>-2.6329767944999999E-2</v>
      </c>
    </row>
    <row r="48" spans="1:25" x14ac:dyDescent="0.2">
      <c r="A48" s="1" t="s">
        <v>9</v>
      </c>
      <c r="B48">
        <f t="shared" si="1"/>
        <v>25.262448503249992</v>
      </c>
      <c r="C48">
        <f t="shared" si="0"/>
        <v>5.427255549409999</v>
      </c>
      <c r="D48">
        <f t="shared" si="0"/>
        <v>2.1484350543749997</v>
      </c>
      <c r="E48">
        <f t="shared" si="0"/>
        <v>0.13877529839999997</v>
      </c>
      <c r="F48">
        <f t="shared" si="0"/>
        <v>-7.6869820000000011E-3</v>
      </c>
      <c r="G48">
        <f t="shared" si="0"/>
        <v>-4.2934555884999996E-2</v>
      </c>
      <c r="H48">
        <f t="shared" si="0"/>
        <v>3.3439928079999993E-2</v>
      </c>
      <c r="I48">
        <f t="shared" si="0"/>
        <v>-2.2190726399999999E-3</v>
      </c>
      <c r="J48">
        <f t="shared" si="0"/>
        <v>-7.5468309560000002E-2</v>
      </c>
      <c r="K48">
        <f t="shared" si="0"/>
        <v>0.71075997352500009</v>
      </c>
      <c r="L48">
        <f t="shared" si="0"/>
        <v>4.9807496709999996E-2</v>
      </c>
      <c r="M48">
        <f t="shared" si="0"/>
        <v>-2.8895485900000004E-2</v>
      </c>
      <c r="N48">
        <f t="shared" si="0"/>
        <v>8.0540259679999976E-2</v>
      </c>
      <c r="O48">
        <f t="shared" si="0"/>
        <v>-2.5286118929999997E-2</v>
      </c>
      <c r="P48">
        <f t="shared" si="0"/>
        <v>0.44716589335500012</v>
      </c>
      <c r="Q48">
        <f t="shared" si="0"/>
        <v>-0.4908484752700002</v>
      </c>
      <c r="R48">
        <f t="shared" si="0"/>
        <v>1.6359187149999985E-3</v>
      </c>
      <c r="S48">
        <f t="shared" si="0"/>
        <v>9.0098824999999966E-3</v>
      </c>
      <c r="T48">
        <f t="shared" si="0"/>
        <v>1.6074131130000002E-2</v>
      </c>
      <c r="U48">
        <f t="shared" si="0"/>
        <v>8.138633599999999E-2</v>
      </c>
      <c r="V48">
        <f t="shared" si="0"/>
        <v>7.279102275999999E-2</v>
      </c>
      <c r="W48">
        <f t="shared" si="0"/>
        <v>8.0230308999999951E-4</v>
      </c>
      <c r="X48">
        <f t="shared" si="0"/>
        <v>0.16903614465</v>
      </c>
      <c r="Y48">
        <f t="shared" si="0"/>
        <v>-2.6893505294999998E-2</v>
      </c>
    </row>
    <row r="49" spans="1:25" x14ac:dyDescent="0.2">
      <c r="A49" s="1" t="s">
        <v>10</v>
      </c>
      <c r="B49">
        <f t="shared" si="1"/>
        <v>27.857403415180002</v>
      </c>
      <c r="C49">
        <f t="shared" si="0"/>
        <v>4.9809277211249992</v>
      </c>
      <c r="D49">
        <f t="shared" si="0"/>
        <v>2.0325304678749996</v>
      </c>
      <c r="E49">
        <f t="shared" si="0"/>
        <v>0.12671304800000002</v>
      </c>
      <c r="F49">
        <f t="shared" si="0"/>
        <v>-8.4101751200000019E-3</v>
      </c>
      <c r="G49">
        <f t="shared" si="0"/>
        <v>-4.7529646304999978E-2</v>
      </c>
      <c r="H49">
        <f t="shared" si="0"/>
        <v>2.4578417279999994E-2</v>
      </c>
      <c r="I49">
        <f t="shared" si="0"/>
        <v>-1.1515627879999997E-2</v>
      </c>
      <c r="J49">
        <f t="shared" si="0"/>
        <v>-7.346830956E-2</v>
      </c>
      <c r="K49">
        <f t="shared" si="0"/>
        <v>0.68609750042499984</v>
      </c>
      <c r="L49">
        <f t="shared" si="0"/>
        <v>5.6063404674999998E-2</v>
      </c>
      <c r="M49">
        <f t="shared" si="0"/>
        <v>-3.1308014150000008E-2</v>
      </c>
      <c r="N49">
        <f t="shared" si="0"/>
        <v>7.6883414435000019E-2</v>
      </c>
      <c r="O49">
        <f t="shared" si="0"/>
        <v>-2.411771167E-2</v>
      </c>
      <c r="P49">
        <f t="shared" si="0"/>
        <v>0.44016589335500012</v>
      </c>
      <c r="Q49">
        <f t="shared" si="0"/>
        <v>5.2682984673800002</v>
      </c>
      <c r="R49">
        <f t="shared" si="0"/>
        <v>2.1133832049999995E-3</v>
      </c>
      <c r="S49">
        <f t="shared" si="0"/>
        <v>7.5018474999999918E-3</v>
      </c>
      <c r="T49">
        <f t="shared" si="0"/>
        <v>1.5333740640000003E-2</v>
      </c>
      <c r="U49">
        <f t="shared" si="0"/>
        <v>7.9922292874999995E-2</v>
      </c>
      <c r="V49">
        <f t="shared" si="0"/>
        <v>7.3553699919999979E-2</v>
      </c>
      <c r="W49">
        <f t="shared" si="0"/>
        <v>1.3390239799999986E-3</v>
      </c>
      <c r="X49">
        <f t="shared" si="0"/>
        <v>0.17631369931999999</v>
      </c>
      <c r="Y49">
        <f t="shared" si="0"/>
        <v>-2.7453283125000002E-2</v>
      </c>
    </row>
    <row r="50" spans="1:25" x14ac:dyDescent="0.2">
      <c r="A50" s="1" t="s">
        <v>11</v>
      </c>
      <c r="B50">
        <f t="shared" si="1"/>
        <v>27.78711129370501</v>
      </c>
      <c r="C50">
        <f t="shared" si="0"/>
        <v>5.00885143067</v>
      </c>
      <c r="D50">
        <f t="shared" si="0"/>
        <v>1.9720816897499998</v>
      </c>
      <c r="E50">
        <f t="shared" si="0"/>
        <v>0.12513997880000002</v>
      </c>
      <c r="F50">
        <f t="shared" si="0"/>
        <v>-8.3952165599999982E-3</v>
      </c>
      <c r="G50">
        <f t="shared" si="0"/>
        <v>-5.1860933979999996E-2</v>
      </c>
      <c r="H50">
        <f t="shared" si="0"/>
        <v>1.8638241914999999E-2</v>
      </c>
      <c r="I50">
        <f t="shared" si="0"/>
        <v>-1.5752581119999998E-2</v>
      </c>
      <c r="J50">
        <f t="shared" si="0"/>
        <v>-7.3056589059999996E-2</v>
      </c>
      <c r="K50">
        <f t="shared" si="0"/>
        <v>0.70303062408000017</v>
      </c>
      <c r="L50">
        <f t="shared" si="0"/>
        <v>5.5718735969999995E-2</v>
      </c>
      <c r="M50">
        <f t="shared" si="0"/>
        <v>-3.0600451999999986E-2</v>
      </c>
      <c r="N50">
        <f t="shared" si="0"/>
        <v>8.1280925255000025E-2</v>
      </c>
      <c r="O50">
        <f t="shared" si="0"/>
        <v>-2.5117711669999994E-2</v>
      </c>
      <c r="P50">
        <f t="shared" si="0"/>
        <v>0.42461961402499993</v>
      </c>
      <c r="Q50">
        <f t="shared" si="0"/>
        <v>6.2600790014300012</v>
      </c>
      <c r="R50">
        <f t="shared" si="0"/>
        <v>2.1507071700000002E-3</v>
      </c>
      <c r="S50">
        <f t="shared" si="0"/>
        <v>6.9480774999999967E-3</v>
      </c>
      <c r="T50">
        <f t="shared" ref="T50:Y50" si="2">T18-T34</f>
        <v>1.0176632569999997E-2</v>
      </c>
      <c r="U50">
        <f t="shared" si="2"/>
        <v>7.3979823874999989E-2</v>
      </c>
      <c r="V50">
        <f t="shared" si="2"/>
        <v>7.4265668439999988E-2</v>
      </c>
      <c r="W50">
        <f t="shared" si="2"/>
        <v>1.25803939E-3</v>
      </c>
      <c r="X50">
        <f t="shared" si="2"/>
        <v>0.17980946013999996</v>
      </c>
      <c r="Y50">
        <f t="shared" si="2"/>
        <v>-2.6453283125000001E-2</v>
      </c>
    </row>
    <row r="52" spans="1:25" s="6" customFormat="1" x14ac:dyDescent="0.2">
      <c r="A52" s="5" t="s">
        <v>61</v>
      </c>
    </row>
    <row r="54" spans="1:25" x14ac:dyDescent="0.2">
      <c r="B54" s="1" t="s">
        <v>19</v>
      </c>
      <c r="C54" s="1" t="s">
        <v>20</v>
      </c>
      <c r="D54" s="1" t="s">
        <v>21</v>
      </c>
      <c r="E54" s="1" t="s">
        <v>23</v>
      </c>
      <c r="F54" s="1" t="s">
        <v>22</v>
      </c>
      <c r="G54" s="1" t="s">
        <v>24</v>
      </c>
      <c r="H54" s="1" t="s">
        <v>25</v>
      </c>
      <c r="I54" s="1" t="s">
        <v>26</v>
      </c>
      <c r="J54" s="1" t="s">
        <v>27</v>
      </c>
      <c r="K54" s="1" t="s">
        <v>28</v>
      </c>
      <c r="L54" s="1" t="s">
        <v>29</v>
      </c>
      <c r="M54" s="1" t="s">
        <v>30</v>
      </c>
      <c r="N54" s="1" t="s">
        <v>31</v>
      </c>
      <c r="O54" s="1" t="s">
        <v>32</v>
      </c>
      <c r="P54" s="1" t="s">
        <v>33</v>
      </c>
      <c r="Q54" s="1" t="s">
        <v>34</v>
      </c>
      <c r="R54" s="1" t="s">
        <v>35</v>
      </c>
      <c r="S54" s="1" t="s">
        <v>36</v>
      </c>
      <c r="T54" s="1" t="s">
        <v>37</v>
      </c>
      <c r="U54" s="1" t="s">
        <v>38</v>
      </c>
      <c r="V54" s="1" t="s">
        <v>39</v>
      </c>
      <c r="W54" s="1" t="s">
        <v>40</v>
      </c>
      <c r="X54" s="1" t="s">
        <v>41</v>
      </c>
      <c r="Y54" s="1" t="s">
        <v>42</v>
      </c>
    </row>
    <row r="55" spans="1:25" x14ac:dyDescent="0.2">
      <c r="A55" s="1" t="s">
        <v>0</v>
      </c>
      <c r="B55">
        <f>B39/B$50</f>
        <v>2.0917659282626699</v>
      </c>
      <c r="C55">
        <f t="shared" ref="C55:Y55" si="3">C39/C$50</f>
        <v>0.81978254275266971</v>
      </c>
      <c r="D55">
        <f t="shared" si="3"/>
        <v>1.0030156482771027</v>
      </c>
      <c r="E55">
        <f t="shared" si="3"/>
        <v>0.48614175248685598</v>
      </c>
      <c r="F55">
        <f t="shared" si="3"/>
        <v>0.22557840008834756</v>
      </c>
      <c r="G55">
        <f t="shared" si="3"/>
        <v>0.70867510502555764</v>
      </c>
      <c r="H55">
        <f t="shared" si="3"/>
        <v>0.84055684444097944</v>
      </c>
      <c r="I55">
        <f t="shared" si="3"/>
        <v>0.56658423987852435</v>
      </c>
      <c r="J55">
        <f t="shared" si="3"/>
        <v>1.0439723786907391</v>
      </c>
      <c r="K55">
        <f t="shared" si="3"/>
        <v>0.49871177544195133</v>
      </c>
      <c r="L55">
        <f t="shared" si="3"/>
        <v>0.8919852087412673</v>
      </c>
      <c r="M55">
        <f t="shared" si="3"/>
        <v>1.3413377333445931</v>
      </c>
      <c r="N55">
        <f t="shared" si="3"/>
        <v>-0.35596885135384398</v>
      </c>
      <c r="O55">
        <f t="shared" si="3"/>
        <v>0.43675644915944678</v>
      </c>
      <c r="P55">
        <f t="shared" si="3"/>
        <v>5.121708908792795E-2</v>
      </c>
      <c r="Q55">
        <f t="shared" si="3"/>
        <v>5.446008383634169E-2</v>
      </c>
      <c r="R55">
        <f t="shared" si="3"/>
        <v>-0.351669102400398</v>
      </c>
      <c r="S55">
        <f t="shared" si="3"/>
        <v>-0.43531466078206554</v>
      </c>
      <c r="T55">
        <f t="shared" si="3"/>
        <v>-2.1856289678344951</v>
      </c>
      <c r="U55">
        <f t="shared" si="3"/>
        <v>-0.23989814648636182</v>
      </c>
      <c r="V55">
        <f t="shared" si="3"/>
        <v>0.52432743066817811</v>
      </c>
      <c r="W55">
        <f t="shared" si="3"/>
        <v>-6.1143875789135667</v>
      </c>
      <c r="X55">
        <f t="shared" si="3"/>
        <v>0.8122886126585307</v>
      </c>
      <c r="Y55">
        <f t="shared" si="3"/>
        <v>1.0009309252799976</v>
      </c>
    </row>
    <row r="56" spans="1:25" x14ac:dyDescent="0.2">
      <c r="A56" s="1" t="s">
        <v>1</v>
      </c>
      <c r="B56">
        <f>B40/B$50</f>
        <v>1.2626300241212276</v>
      </c>
      <c r="C56">
        <f t="shared" ref="C56:Y66" si="4">C40/C$50</f>
        <v>0.93790703384101015</v>
      </c>
      <c r="D56">
        <f t="shared" si="4"/>
        <v>0.98423583818227056</v>
      </c>
      <c r="E56">
        <f t="shared" si="4"/>
        <v>0.70476670242172024</v>
      </c>
      <c r="F56">
        <f t="shared" si="4"/>
        <v>0.49116599322126375</v>
      </c>
      <c r="G56">
        <f t="shared" si="4"/>
        <v>0.58686910530260372</v>
      </c>
      <c r="H56">
        <f t="shared" si="4"/>
        <v>1.2171395694645912</v>
      </c>
      <c r="I56">
        <f t="shared" si="4"/>
        <v>1.7690728768645046E-2</v>
      </c>
      <c r="J56">
        <f t="shared" si="4"/>
        <v>0.80924557525461849</v>
      </c>
      <c r="K56">
        <f t="shared" si="4"/>
        <v>0.6652897757648415</v>
      </c>
      <c r="L56">
        <f t="shared" si="4"/>
        <v>1.031384408844837</v>
      </c>
      <c r="M56">
        <f t="shared" si="4"/>
        <v>0.67713739734955614</v>
      </c>
      <c r="N56">
        <f t="shared" si="4"/>
        <v>5.3568244779941925E-2</v>
      </c>
      <c r="O56">
        <f t="shared" si="4"/>
        <v>0.62513319311464166</v>
      </c>
      <c r="P56">
        <f t="shared" si="4"/>
        <v>0.45441915676236194</v>
      </c>
      <c r="Q56">
        <f t="shared" si="4"/>
        <v>7.4145407223131204E-2</v>
      </c>
      <c r="R56">
        <f t="shared" si="4"/>
        <v>-0.40569632499063102</v>
      </c>
      <c r="S56">
        <f t="shared" si="4"/>
        <v>-9.1087426701846858E-2</v>
      </c>
      <c r="T56">
        <f t="shared" si="4"/>
        <v>-1.3167959929597819</v>
      </c>
      <c r="U56">
        <f t="shared" si="4"/>
        <v>0.31277491670021906</v>
      </c>
      <c r="V56">
        <f t="shared" si="4"/>
        <v>0.66385347086495572</v>
      </c>
      <c r="W56">
        <f t="shared" si="4"/>
        <v>-3.3846630112273353</v>
      </c>
      <c r="X56">
        <f t="shared" si="4"/>
        <v>0.80648446181358935</v>
      </c>
      <c r="Y56">
        <f t="shared" si="4"/>
        <v>1.0608043416539057</v>
      </c>
    </row>
    <row r="57" spans="1:25" x14ac:dyDescent="0.2">
      <c r="A57" s="1" t="s">
        <v>2</v>
      </c>
      <c r="B57">
        <f t="shared" ref="B57:Q66" si="5">B41/B$50</f>
        <v>0.803582841291551</v>
      </c>
      <c r="C57">
        <f t="shared" si="5"/>
        <v>0.96626919431658997</v>
      </c>
      <c r="D57">
        <f t="shared" si="5"/>
        <v>0.8995250578843319</v>
      </c>
      <c r="E57">
        <f t="shared" si="5"/>
        <v>0.77077667045281606</v>
      </c>
      <c r="F57">
        <f t="shared" si="5"/>
        <v>0.55339641172996745</v>
      </c>
      <c r="G57">
        <f t="shared" si="5"/>
        <v>0.59029970597532999</v>
      </c>
      <c r="H57">
        <f t="shared" si="5"/>
        <v>1.2410977180945124</v>
      </c>
      <c r="I57">
        <f t="shared" si="5"/>
        <v>-7.2470030866916085E-2</v>
      </c>
      <c r="J57">
        <f t="shared" si="5"/>
        <v>0.72206019386802167</v>
      </c>
      <c r="K57">
        <f t="shared" si="5"/>
        <v>0.66785369841381426</v>
      </c>
      <c r="L57">
        <f t="shared" si="5"/>
        <v>1.0258088589944732</v>
      </c>
      <c r="M57">
        <f t="shared" si="5"/>
        <v>0.50034483886055048</v>
      </c>
      <c r="N57">
        <f t="shared" si="5"/>
        <v>0.24520082248662625</v>
      </c>
      <c r="O57">
        <f t="shared" si="5"/>
        <v>0.54813859601884674</v>
      </c>
      <c r="P57">
        <f t="shared" si="5"/>
        <v>0.54428364540031093</v>
      </c>
      <c r="Q57">
        <f t="shared" si="5"/>
        <v>0.13168772671585877</v>
      </c>
      <c r="R57">
        <f t="shared" si="4"/>
        <v>-0.12802791511593861</v>
      </c>
      <c r="S57">
        <f t="shared" si="4"/>
        <v>-3.5759172231455451E-2</v>
      </c>
      <c r="T57">
        <f t="shared" si="4"/>
        <v>-1.4878143016221725</v>
      </c>
      <c r="U57">
        <f t="shared" si="4"/>
        <v>0.51417199998031227</v>
      </c>
      <c r="V57">
        <f t="shared" si="4"/>
        <v>0.6848478295336542</v>
      </c>
      <c r="W57">
        <f t="shared" si="4"/>
        <v>-3.0747861241451271</v>
      </c>
      <c r="X57">
        <f t="shared" si="4"/>
        <v>0.79668513863766721</v>
      </c>
      <c r="Y57">
        <f t="shared" si="4"/>
        <v>1.0466471174549152</v>
      </c>
    </row>
    <row r="58" spans="1:25" x14ac:dyDescent="0.2">
      <c r="A58" s="1" t="s">
        <v>3</v>
      </c>
      <c r="B58">
        <f t="shared" si="5"/>
        <v>1.4290324563897998</v>
      </c>
      <c r="C58">
        <f t="shared" si="4"/>
        <v>1.0272478453561844</v>
      </c>
      <c r="D58">
        <f t="shared" si="4"/>
        <v>1.1422023839491917</v>
      </c>
      <c r="E58">
        <f t="shared" si="4"/>
        <v>0.94214335283233974</v>
      </c>
      <c r="F58">
        <f t="shared" si="4"/>
        <v>0.68483448865314334</v>
      </c>
      <c r="G58">
        <f t="shared" si="4"/>
        <v>0.79164040886407494</v>
      </c>
      <c r="H58">
        <f t="shared" si="4"/>
        <v>1.5463114078267932</v>
      </c>
      <c r="I58">
        <f t="shared" si="4"/>
        <v>0.29753974185533338</v>
      </c>
      <c r="J58">
        <f t="shared" si="4"/>
        <v>1.1721502394489152</v>
      </c>
      <c r="K58">
        <f t="shared" si="4"/>
        <v>0.87119049457695397</v>
      </c>
      <c r="L58">
        <f t="shared" si="4"/>
        <v>0.95786781566143275</v>
      </c>
      <c r="M58">
        <f t="shared" si="4"/>
        <v>1.2822550709381684</v>
      </c>
      <c r="N58">
        <f t="shared" si="4"/>
        <v>0.43165532841718862</v>
      </c>
      <c r="O58">
        <f t="shared" si="4"/>
        <v>0.8337881139472445</v>
      </c>
      <c r="P58">
        <f t="shared" si="4"/>
        <v>0.7779574637255241</v>
      </c>
      <c r="Q58">
        <f t="shared" si="4"/>
        <v>-9.9662456170678093E-2</v>
      </c>
      <c r="R58">
        <f t="shared" si="4"/>
        <v>0.15324259136588997</v>
      </c>
      <c r="S58">
        <f t="shared" si="4"/>
        <v>0.81195517752932367</v>
      </c>
      <c r="T58">
        <f t="shared" si="4"/>
        <v>0.97574867439672142</v>
      </c>
      <c r="U58">
        <f t="shared" si="4"/>
        <v>0.77156851875514143</v>
      </c>
      <c r="V58">
        <f t="shared" si="4"/>
        <v>0.86216187728424887</v>
      </c>
      <c r="W58">
        <f t="shared" si="4"/>
        <v>-0.60176671415670047</v>
      </c>
      <c r="X58">
        <f t="shared" si="4"/>
        <v>0.89701114854812669</v>
      </c>
      <c r="Y58">
        <f t="shared" si="4"/>
        <v>1.0698433452010316</v>
      </c>
    </row>
    <row r="59" spans="1:25" x14ac:dyDescent="0.2">
      <c r="A59" s="1" t="s">
        <v>4</v>
      </c>
      <c r="B59">
        <f t="shared" si="5"/>
        <v>1.3904429063591739</v>
      </c>
      <c r="C59">
        <f t="shared" si="4"/>
        <v>0.97763464523142862</v>
      </c>
      <c r="D59">
        <f t="shared" si="4"/>
        <v>1.1335659240152429</v>
      </c>
      <c r="E59">
        <f t="shared" si="4"/>
        <v>0.99508539792081185</v>
      </c>
      <c r="F59">
        <f t="shared" si="4"/>
        <v>0.81300885941648671</v>
      </c>
      <c r="G59">
        <f t="shared" si="4"/>
        <v>0.68994481238611893</v>
      </c>
      <c r="H59">
        <f t="shared" si="4"/>
        <v>2.0425075607245113</v>
      </c>
      <c r="I59">
        <f t="shared" si="4"/>
        <v>7.4740211209272642E-2</v>
      </c>
      <c r="J59">
        <f t="shared" si="4"/>
        <v>0.95913216181571337</v>
      </c>
      <c r="K59">
        <f t="shared" si="4"/>
        <v>0.82443663868623296</v>
      </c>
      <c r="L59">
        <f t="shared" si="4"/>
        <v>1.0163025218391366</v>
      </c>
      <c r="M59">
        <f t="shared" si="4"/>
        <v>0.80938697735575971</v>
      </c>
      <c r="N59">
        <f t="shared" si="4"/>
        <v>0.40771805249548876</v>
      </c>
      <c r="O59">
        <f t="shared" si="4"/>
        <v>0.68124265955474239</v>
      </c>
      <c r="P59">
        <f t="shared" si="4"/>
        <v>0.78327215747838319</v>
      </c>
      <c r="Q59">
        <f t="shared" si="4"/>
        <v>-8.3066776307649554E-2</v>
      </c>
      <c r="R59">
        <f t="shared" si="4"/>
        <v>1.4408386428543876E-2</v>
      </c>
      <c r="S59">
        <f t="shared" si="4"/>
        <v>0.5484786978844145</v>
      </c>
      <c r="T59">
        <f t="shared" si="4"/>
        <v>1.2399951971539058</v>
      </c>
      <c r="U59">
        <f t="shared" si="4"/>
        <v>0.86502242466983714</v>
      </c>
      <c r="V59">
        <f t="shared" si="4"/>
        <v>0.84139511880221884</v>
      </c>
      <c r="W59">
        <f t="shared" si="4"/>
        <v>-1.2155248016518783</v>
      </c>
      <c r="X59">
        <f t="shared" si="4"/>
        <v>0.88580967673217348</v>
      </c>
      <c r="Y59">
        <f t="shared" si="4"/>
        <v>1.0367100355903365</v>
      </c>
    </row>
    <row r="60" spans="1:25" x14ac:dyDescent="0.2">
      <c r="A60" s="1" t="s">
        <v>5</v>
      </c>
      <c r="B60">
        <f t="shared" si="5"/>
        <v>1.0701016176854727</v>
      </c>
      <c r="C60">
        <f t="shared" si="4"/>
        <v>1.032024545691814</v>
      </c>
      <c r="D60">
        <f t="shared" si="4"/>
        <v>1.1252644886791254</v>
      </c>
      <c r="E60">
        <f t="shared" si="4"/>
        <v>1.1567445782562329</v>
      </c>
      <c r="F60">
        <f t="shared" si="4"/>
        <v>0.96672813881527819</v>
      </c>
      <c r="G60">
        <f t="shared" si="4"/>
        <v>0.80433756652139654</v>
      </c>
      <c r="H60">
        <f t="shared" si="4"/>
        <v>2.2498670135433745</v>
      </c>
      <c r="I60">
        <f t="shared" si="4"/>
        <v>-0.17918642909994423</v>
      </c>
      <c r="J60">
        <f t="shared" si="4"/>
        <v>1.1146543865211218</v>
      </c>
      <c r="K60">
        <f t="shared" si="4"/>
        <v>0.95931629985190336</v>
      </c>
      <c r="L60">
        <f t="shared" si="4"/>
        <v>0.80239368206543316</v>
      </c>
      <c r="M60">
        <f t="shared" si="4"/>
        <v>1.087712092455366</v>
      </c>
      <c r="N60">
        <f t="shared" si="4"/>
        <v>0.8697105963450068</v>
      </c>
      <c r="O60">
        <f t="shared" si="4"/>
        <v>0.96952266830444123</v>
      </c>
      <c r="P60">
        <f t="shared" si="4"/>
        <v>1.1154220737012739</v>
      </c>
      <c r="Q60">
        <f t="shared" si="4"/>
        <v>-0.22844247506993554</v>
      </c>
      <c r="R60">
        <f t="shared" si="4"/>
        <v>0.53503665494359232</v>
      </c>
      <c r="S60">
        <f t="shared" si="4"/>
        <v>1.3609681958786441</v>
      </c>
      <c r="T60">
        <f t="shared" si="4"/>
        <v>2.2572918430521667</v>
      </c>
      <c r="U60">
        <f t="shared" si="4"/>
        <v>1.2466011227037406</v>
      </c>
      <c r="V60">
        <f t="shared" si="4"/>
        <v>0.96325527720517745</v>
      </c>
      <c r="W60">
        <f t="shared" si="4"/>
        <v>0.70211448625626949</v>
      </c>
      <c r="X60">
        <f t="shared" si="4"/>
        <v>0.88309968327787669</v>
      </c>
      <c r="Y60">
        <f t="shared" si="4"/>
        <v>1</v>
      </c>
    </row>
    <row r="61" spans="1:25" x14ac:dyDescent="0.2">
      <c r="A61" s="1" t="s">
        <v>6</v>
      </c>
      <c r="B61">
        <f t="shared" si="5"/>
        <v>0.97892969486908676</v>
      </c>
      <c r="C61">
        <f t="shared" si="4"/>
        <v>1.0166797526252089</v>
      </c>
      <c r="D61">
        <f t="shared" si="4"/>
        <v>1.0910644535839518</v>
      </c>
      <c r="E61">
        <f t="shared" si="4"/>
        <v>1.2823981411766063</v>
      </c>
      <c r="F61">
        <f t="shared" si="4"/>
        <v>1.0674258628058551</v>
      </c>
      <c r="G61">
        <f t="shared" si="4"/>
        <v>0.8962934052233974</v>
      </c>
      <c r="H61">
        <f t="shared" si="4"/>
        <v>2.3092569745197449</v>
      </c>
      <c r="I61">
        <f t="shared" si="4"/>
        <v>-0.21712407979016965</v>
      </c>
      <c r="J61">
        <f t="shared" si="4"/>
        <v>0.99803081635960522</v>
      </c>
      <c r="K61">
        <f t="shared" si="4"/>
        <v>1.047034759528821</v>
      </c>
      <c r="L61">
        <f t="shared" si="4"/>
        <v>0.86223521278133564</v>
      </c>
      <c r="M61">
        <f t="shared" si="4"/>
        <v>0.70724958000620441</v>
      </c>
      <c r="N61">
        <f t="shared" si="4"/>
        <v>1.0748305479535103</v>
      </c>
      <c r="O61">
        <f t="shared" si="4"/>
        <v>1.0078914724639005</v>
      </c>
      <c r="P61">
        <f t="shared" si="4"/>
        <v>1.2586547859598727</v>
      </c>
      <c r="Q61">
        <f t="shared" si="4"/>
        <v>-0.26754701660991936</v>
      </c>
      <c r="R61">
        <f t="shared" si="4"/>
        <v>0.67387085988093809</v>
      </c>
      <c r="S61">
        <f t="shared" si="4"/>
        <v>1.6797729299939448</v>
      </c>
      <c r="T61">
        <f t="shared" si="4"/>
        <v>2.6223207565407871</v>
      </c>
      <c r="U61">
        <f t="shared" si="4"/>
        <v>1.407511413867907</v>
      </c>
      <c r="V61">
        <f t="shared" si="4"/>
        <v>1.010952379707686</v>
      </c>
      <c r="W61">
        <f t="shared" si="4"/>
        <v>2.297885513743732</v>
      </c>
      <c r="X61">
        <f t="shared" si="4"/>
        <v>0.89003183995656066</v>
      </c>
      <c r="Y61">
        <f t="shared" si="4"/>
        <v>0.87943907472921645</v>
      </c>
    </row>
    <row r="62" spans="1:25" x14ac:dyDescent="0.2">
      <c r="A62" s="1" t="s">
        <v>7</v>
      </c>
      <c r="B62">
        <f t="shared" si="5"/>
        <v>0.99696892828388095</v>
      </c>
      <c r="C62">
        <f t="shared" si="4"/>
        <v>1.0303487479553102</v>
      </c>
      <c r="D62">
        <f t="shared" si="4"/>
        <v>1.0838775895338137</v>
      </c>
      <c r="E62">
        <f t="shared" si="4"/>
        <v>0.97856528164922452</v>
      </c>
      <c r="F62">
        <f t="shared" si="4"/>
        <v>0.83127664308876403</v>
      </c>
      <c r="G62">
        <f t="shared" si="4"/>
        <v>0.75548109073989356</v>
      </c>
      <c r="H62">
        <f t="shared" si="4"/>
        <v>2.0409913289292123</v>
      </c>
      <c r="I62">
        <f t="shared" si="4"/>
        <v>-6.3860023467696952E-2</v>
      </c>
      <c r="J62">
        <f t="shared" si="4"/>
        <v>1.1859312252977499</v>
      </c>
      <c r="K62">
        <f t="shared" si="4"/>
        <v>0.8191543317101182</v>
      </c>
      <c r="L62">
        <f t="shared" si="4"/>
        <v>0.77685370587562497</v>
      </c>
      <c r="M62">
        <f t="shared" si="4"/>
        <v>1.4892501399979332</v>
      </c>
      <c r="N62">
        <f t="shared" si="4"/>
        <v>0.64267835006942875</v>
      </c>
      <c r="O62">
        <f t="shared" si="4"/>
        <v>0.78149588935065606</v>
      </c>
      <c r="P62">
        <f t="shared" si="4"/>
        <v>0.87749879012433563</v>
      </c>
      <c r="Q62">
        <f t="shared" si="4"/>
        <v>-0.11240950286717696</v>
      </c>
      <c r="R62">
        <f t="shared" si="4"/>
        <v>0.3788481743890777</v>
      </c>
      <c r="S62">
        <f t="shared" si="4"/>
        <v>0.77868698211843534</v>
      </c>
      <c r="T62">
        <f t="shared" si="4"/>
        <v>1.3344824406881386</v>
      </c>
      <c r="U62">
        <f t="shared" si="4"/>
        <v>1.03912589066028</v>
      </c>
      <c r="V62">
        <f t="shared" si="4"/>
        <v>0.88452183707295806</v>
      </c>
      <c r="W62">
        <f t="shared" si="4"/>
        <v>-0.77690061040139657</v>
      </c>
      <c r="X62">
        <f t="shared" si="4"/>
        <v>0.8747653779591622</v>
      </c>
      <c r="Y62">
        <f t="shared" si="4"/>
        <v>1.1382948754494155</v>
      </c>
    </row>
    <row r="63" spans="1:25" x14ac:dyDescent="0.2">
      <c r="A63" s="1" t="s">
        <v>8</v>
      </c>
      <c r="B63">
        <f t="shared" si="5"/>
        <v>0.95117209515990997</v>
      </c>
      <c r="C63">
        <f t="shared" si="4"/>
        <v>1.0610412174601276</v>
      </c>
      <c r="D63">
        <f t="shared" si="4"/>
        <v>1.0867910408527235</v>
      </c>
      <c r="E63">
        <f t="shared" si="4"/>
        <v>1.0853631293726891</v>
      </c>
      <c r="F63">
        <f t="shared" si="4"/>
        <v>0.92841077586210585</v>
      </c>
      <c r="G63">
        <f t="shared" si="4"/>
        <v>0.8527208415115396</v>
      </c>
      <c r="H63">
        <f t="shared" si="4"/>
        <v>1.8420730762362787</v>
      </c>
      <c r="I63">
        <f t="shared" si="4"/>
        <v>0.12847677371617938</v>
      </c>
      <c r="J63">
        <f t="shared" si="4"/>
        <v>1.0991004367046753</v>
      </c>
      <c r="K63">
        <f t="shared" si="4"/>
        <v>0.98719380796991374</v>
      </c>
      <c r="L63">
        <f t="shared" si="4"/>
        <v>0.85642172492377877</v>
      </c>
      <c r="M63">
        <f t="shared" si="4"/>
        <v>1.1029009301888757</v>
      </c>
      <c r="N63">
        <f t="shared" si="4"/>
        <v>0.98060955605444389</v>
      </c>
      <c r="O63">
        <f t="shared" si="4"/>
        <v>1.0218148929010304</v>
      </c>
      <c r="P63">
        <f t="shared" si="4"/>
        <v>1.0084289847236998</v>
      </c>
      <c r="Q63">
        <f t="shared" si="4"/>
        <v>-0.10245560075096311</v>
      </c>
      <c r="R63">
        <f t="shared" si="4"/>
        <v>0.63916230864660128</v>
      </c>
      <c r="S63">
        <f t="shared" si="4"/>
        <v>1.1174170121159426</v>
      </c>
      <c r="T63">
        <f t="shared" si="4"/>
        <v>1.5310111043932491</v>
      </c>
      <c r="U63">
        <f t="shared" si="4"/>
        <v>1.0863388798517872</v>
      </c>
      <c r="V63">
        <f t="shared" si="4"/>
        <v>0.95253049768415954</v>
      </c>
      <c r="W63">
        <f t="shared" si="4"/>
        <v>0.20511232959088826</v>
      </c>
      <c r="X63">
        <f t="shared" si="4"/>
        <v>0.91785477049706032</v>
      </c>
      <c r="Y63">
        <f t="shared" si="4"/>
        <v>0.99533081850686156</v>
      </c>
    </row>
    <row r="64" spans="1:25" x14ac:dyDescent="0.2">
      <c r="A64" s="1" t="s">
        <v>9</v>
      </c>
      <c r="B64">
        <f t="shared" si="5"/>
        <v>0.90914266820434253</v>
      </c>
      <c r="C64">
        <f t="shared" si="4"/>
        <v>1.0835329465310237</v>
      </c>
      <c r="D64">
        <f t="shared" si="4"/>
        <v>1.0894249794730138</v>
      </c>
      <c r="E64">
        <f t="shared" si="4"/>
        <v>1.1089605394754944</v>
      </c>
      <c r="F64">
        <f t="shared" si="4"/>
        <v>0.91563832154438229</v>
      </c>
      <c r="G64">
        <f t="shared" si="4"/>
        <v>0.82787857043912039</v>
      </c>
      <c r="H64">
        <f t="shared" si="4"/>
        <v>1.7941567789764357</v>
      </c>
      <c r="I64">
        <f t="shared" si="4"/>
        <v>0.14087041501932607</v>
      </c>
      <c r="J64">
        <f t="shared" si="4"/>
        <v>1.0330116767156936</v>
      </c>
      <c r="K64">
        <f t="shared" si="4"/>
        <v>1.0109943282415539</v>
      </c>
      <c r="L64">
        <f t="shared" si="4"/>
        <v>0.89390930793579526</v>
      </c>
      <c r="M64">
        <f t="shared" si="4"/>
        <v>0.94428297660439842</v>
      </c>
      <c r="N64">
        <f t="shared" si="4"/>
        <v>0.99088758435418423</v>
      </c>
      <c r="O64">
        <f t="shared" si="4"/>
        <v>1.0067047214416887</v>
      </c>
      <c r="P64">
        <f t="shared" si="4"/>
        <v>1.0530975927284243</v>
      </c>
      <c r="Q64">
        <f t="shared" si="4"/>
        <v>-7.8409310035524274E-2</v>
      </c>
      <c r="R64">
        <f t="shared" si="4"/>
        <v>0.76064223796677932</v>
      </c>
      <c r="S64">
        <f t="shared" si="4"/>
        <v>1.2967446750557978</v>
      </c>
      <c r="T64">
        <f t="shared" si="4"/>
        <v>1.5795137555998062</v>
      </c>
      <c r="U64">
        <f t="shared" si="4"/>
        <v>1.100115298159055</v>
      </c>
      <c r="V64">
        <f t="shared" si="4"/>
        <v>0.98014364226464379</v>
      </c>
      <c r="W64">
        <f t="shared" si="4"/>
        <v>0.63774083417213157</v>
      </c>
      <c r="X64">
        <f t="shared" si="4"/>
        <v>0.94008482378173075</v>
      </c>
      <c r="Y64">
        <f t="shared" si="4"/>
        <v>1.0166414946651352</v>
      </c>
    </row>
    <row r="65" spans="1:25" x14ac:dyDescent="0.2">
      <c r="A65" s="1" t="s">
        <v>10</v>
      </c>
      <c r="B65">
        <f t="shared" si="5"/>
        <v>1.0025296663885648</v>
      </c>
      <c r="C65">
        <f t="shared" si="4"/>
        <v>0.99442512721099696</v>
      </c>
      <c r="D65">
        <f t="shared" si="4"/>
        <v>1.0306522688381448</v>
      </c>
      <c r="E65">
        <f t="shared" si="4"/>
        <v>1.0125704767979391</v>
      </c>
      <c r="F65">
        <f t="shared" si="4"/>
        <v>1.0017817956086179</v>
      </c>
      <c r="G65">
        <f t="shared" si="4"/>
        <v>0.91648265191925848</v>
      </c>
      <c r="H65">
        <f t="shared" si="4"/>
        <v>1.3187089958425402</v>
      </c>
      <c r="I65">
        <f t="shared" si="4"/>
        <v>0.73103117465488721</v>
      </c>
      <c r="J65">
        <f t="shared" si="4"/>
        <v>1.0056356381443139</v>
      </c>
      <c r="K65">
        <f t="shared" si="4"/>
        <v>0.97591410235200016</v>
      </c>
      <c r="L65">
        <f t="shared" si="4"/>
        <v>1.0061858672670818</v>
      </c>
      <c r="M65">
        <f t="shared" si="4"/>
        <v>1.0231226045288488</v>
      </c>
      <c r="N65">
        <f t="shared" si="4"/>
        <v>0.94589738236611065</v>
      </c>
      <c r="O65">
        <f t="shared" si="4"/>
        <v>0.96018745604145261</v>
      </c>
      <c r="P65">
        <f t="shared" si="4"/>
        <v>1.0366122496853969</v>
      </c>
      <c r="Q65">
        <f t="shared" si="4"/>
        <v>0.8415706041691412</v>
      </c>
      <c r="R65">
        <f t="shared" si="4"/>
        <v>0.98264572438283149</v>
      </c>
      <c r="S65">
        <f t="shared" si="4"/>
        <v>1.0797011835288244</v>
      </c>
      <c r="T65">
        <f t="shared" si="4"/>
        <v>1.5067597787899705</v>
      </c>
      <c r="U65">
        <f t="shared" si="4"/>
        <v>1.0803255359196406</v>
      </c>
      <c r="V65">
        <f t="shared" si="4"/>
        <v>0.99041322141232435</v>
      </c>
      <c r="W65">
        <f t="shared" si="4"/>
        <v>1.064373652084136</v>
      </c>
      <c r="X65">
        <f t="shared" si="4"/>
        <v>0.98055852669109755</v>
      </c>
      <c r="Y65">
        <f t="shared" si="4"/>
        <v>1.0378024911038335</v>
      </c>
    </row>
    <row r="66" spans="1:25" x14ac:dyDescent="0.2">
      <c r="A66" s="1" t="s">
        <v>11</v>
      </c>
      <c r="B66">
        <f t="shared" si="5"/>
        <v>1</v>
      </c>
      <c r="C66">
        <f t="shared" si="4"/>
        <v>1</v>
      </c>
      <c r="D66">
        <f t="shared" si="4"/>
        <v>1</v>
      </c>
      <c r="E66">
        <f t="shared" si="4"/>
        <v>1</v>
      </c>
      <c r="F66">
        <f t="shared" si="4"/>
        <v>1</v>
      </c>
      <c r="G66">
        <f t="shared" si="4"/>
        <v>1</v>
      </c>
      <c r="H66">
        <f t="shared" si="4"/>
        <v>1</v>
      </c>
      <c r="I66">
        <f t="shared" si="4"/>
        <v>1</v>
      </c>
      <c r="J66">
        <f t="shared" si="4"/>
        <v>1</v>
      </c>
      <c r="K66">
        <f t="shared" si="4"/>
        <v>1</v>
      </c>
      <c r="L66">
        <f t="shared" si="4"/>
        <v>1</v>
      </c>
      <c r="M66">
        <f t="shared" si="4"/>
        <v>1</v>
      </c>
      <c r="N66">
        <f t="shared" si="4"/>
        <v>1</v>
      </c>
      <c r="O66">
        <f t="shared" si="4"/>
        <v>1</v>
      </c>
      <c r="P66">
        <f t="shared" si="4"/>
        <v>1</v>
      </c>
      <c r="Q66">
        <f t="shared" si="4"/>
        <v>1</v>
      </c>
      <c r="R66">
        <f t="shared" si="4"/>
        <v>1</v>
      </c>
      <c r="S66">
        <f t="shared" si="4"/>
        <v>1</v>
      </c>
      <c r="T66">
        <f t="shared" si="4"/>
        <v>1</v>
      </c>
      <c r="U66">
        <f t="shared" si="4"/>
        <v>1</v>
      </c>
      <c r="V66">
        <f t="shared" si="4"/>
        <v>1</v>
      </c>
      <c r="W66">
        <f t="shared" si="4"/>
        <v>1</v>
      </c>
      <c r="X66">
        <f t="shared" si="4"/>
        <v>1</v>
      </c>
      <c r="Y66">
        <f t="shared" si="4"/>
        <v>1</v>
      </c>
    </row>
    <row r="68" spans="1:25" x14ac:dyDescent="0.2">
      <c r="A68" s="2" t="s">
        <v>62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70" spans="1:25" x14ac:dyDescent="0.2">
      <c r="B70" s="1" t="s">
        <v>19</v>
      </c>
      <c r="C70" s="1" t="s">
        <v>20</v>
      </c>
      <c r="D70" s="1" t="s">
        <v>21</v>
      </c>
      <c r="E70" s="1" t="s">
        <v>23</v>
      </c>
      <c r="F70" s="1" t="s">
        <v>22</v>
      </c>
      <c r="G70" s="1" t="s">
        <v>24</v>
      </c>
      <c r="H70" s="1" t="s">
        <v>25</v>
      </c>
      <c r="I70" s="1" t="s">
        <v>26</v>
      </c>
      <c r="J70" s="1" t="s">
        <v>27</v>
      </c>
      <c r="K70" s="1" t="s">
        <v>28</v>
      </c>
      <c r="L70" s="1" t="s">
        <v>29</v>
      </c>
      <c r="M70" s="1" t="s">
        <v>30</v>
      </c>
      <c r="N70" s="1" t="s">
        <v>31</v>
      </c>
      <c r="O70" s="1" t="s">
        <v>32</v>
      </c>
      <c r="P70" s="1" t="s">
        <v>33</v>
      </c>
      <c r="Q70" s="1" t="s">
        <v>34</v>
      </c>
      <c r="R70" s="1" t="s">
        <v>35</v>
      </c>
      <c r="S70" s="1" t="s">
        <v>36</v>
      </c>
      <c r="T70" s="1" t="s">
        <v>37</v>
      </c>
      <c r="U70" s="1" t="s">
        <v>38</v>
      </c>
      <c r="V70" s="1" t="s">
        <v>39</v>
      </c>
      <c r="W70" s="1" t="s">
        <v>40</v>
      </c>
      <c r="X70" s="1" t="s">
        <v>41</v>
      </c>
      <c r="Y70" s="1" t="s">
        <v>42</v>
      </c>
    </row>
    <row r="71" spans="1:25" x14ac:dyDescent="0.2">
      <c r="A71" s="1" t="s">
        <v>0</v>
      </c>
      <c r="B71">
        <f>B39/B$87</f>
        <v>0.10209579092644527</v>
      </c>
      <c r="C71">
        <f t="shared" ref="C71:Y71" si="6">C39/C$87</f>
        <v>0.15198913900933197</v>
      </c>
      <c r="D71">
        <f t="shared" si="6"/>
        <v>0.13166917333698114</v>
      </c>
      <c r="E71">
        <f t="shared" si="6"/>
        <v>4.047633433488846E-2</v>
      </c>
      <c r="F71">
        <f t="shared" si="6"/>
        <v>-1.4367189832853868E-2</v>
      </c>
      <c r="G71">
        <f t="shared" si="6"/>
        <v>-4.6941789244345895E-2</v>
      </c>
      <c r="H71">
        <f t="shared" si="6"/>
        <v>2.4559067572268296E-2</v>
      </c>
      <c r="I71">
        <f t="shared" si="6"/>
        <v>-1.5526496326594223E-2</v>
      </c>
      <c r="J71">
        <f t="shared" si="6"/>
        <v>-5.7588728704291291E-2</v>
      </c>
      <c r="K71">
        <f t="shared" si="6"/>
        <v>3.0173864987220304E-2</v>
      </c>
      <c r="L71">
        <f t="shared" si="6"/>
        <v>3.6405909571468303E-2</v>
      </c>
      <c r="M71">
        <f t="shared" si="6"/>
        <v>-2.571098336873023E-2</v>
      </c>
      <c r="N71">
        <f t="shared" si="6"/>
        <v>-1.6427229223032084E-2</v>
      </c>
      <c r="O71">
        <f t="shared" si="6"/>
        <v>-1.0116679193028121E-2</v>
      </c>
      <c r="P71">
        <f t="shared" si="6"/>
        <v>2.8602656315034531E-3</v>
      </c>
      <c r="Q71">
        <f t="shared" si="6"/>
        <v>4.1982891331936939E-3</v>
      </c>
      <c r="R71">
        <f t="shared" si="6"/>
        <v>-7.09244157205699E-3</v>
      </c>
      <c r="S71">
        <f t="shared" si="6"/>
        <v>-7.6465680697762623E-3</v>
      </c>
      <c r="T71">
        <f t="shared" si="6"/>
        <v>-3.1543436068445445E-2</v>
      </c>
      <c r="U71">
        <f t="shared" si="6"/>
        <v>-1.2483183339224071E-2</v>
      </c>
      <c r="V71">
        <f t="shared" si="6"/>
        <v>5.360918829141284E-2</v>
      </c>
      <c r="W71">
        <f t="shared" si="6"/>
        <v>-1.7433869273751627E-2</v>
      </c>
      <c r="X71">
        <f t="shared" si="6"/>
        <v>6.8095866865577934E-2</v>
      </c>
      <c r="Y71">
        <f t="shared" si="6"/>
        <v>-5.9263585436838226E-2</v>
      </c>
    </row>
    <row r="72" spans="1:25" x14ac:dyDescent="0.2">
      <c r="A72" s="1" t="s">
        <v>1</v>
      </c>
      <c r="B72">
        <f t="shared" ref="B72:Q82" si="7">B40/B$87</f>
        <v>6.162697710025318E-2</v>
      </c>
      <c r="C72">
        <f t="shared" si="7"/>
        <v>0.17388962939565752</v>
      </c>
      <c r="D72">
        <f t="shared" si="7"/>
        <v>0.12920388570676372</v>
      </c>
      <c r="E72">
        <f t="shared" si="7"/>
        <v>5.8679125027611509E-2</v>
      </c>
      <c r="F72">
        <f t="shared" si="7"/>
        <v>-3.1282583178568392E-2</v>
      </c>
      <c r="G72">
        <f t="shared" si="7"/>
        <v>-3.8873505869998284E-2</v>
      </c>
      <c r="H72">
        <f t="shared" si="7"/>
        <v>3.5561917232667682E-2</v>
      </c>
      <c r="I72">
        <f t="shared" si="7"/>
        <v>-4.8479116768237736E-4</v>
      </c>
      <c r="J72">
        <f t="shared" si="7"/>
        <v>-4.4640475974021834E-2</v>
      </c>
      <c r="K72">
        <f t="shared" si="7"/>
        <v>4.0252436096013131E-2</v>
      </c>
      <c r="L72">
        <f t="shared" si="7"/>
        <v>4.2095414984307092E-2</v>
      </c>
      <c r="M72">
        <f t="shared" si="7"/>
        <v>-1.2979481549504037E-2</v>
      </c>
      <c r="N72">
        <f t="shared" si="7"/>
        <v>2.4720641503570007E-3</v>
      </c>
      <c r="O72">
        <f t="shared" si="7"/>
        <v>-1.4480088341741514E-2</v>
      </c>
      <c r="P72">
        <f t="shared" si="7"/>
        <v>2.5377457398111321E-2</v>
      </c>
      <c r="Q72">
        <f t="shared" si="7"/>
        <v>5.7158167136968406E-3</v>
      </c>
      <c r="R72">
        <f t="shared" ref="R72:Y72" si="8">R40/R$87</f>
        <v>-8.1820593886528445E-3</v>
      </c>
      <c r="S72">
        <f t="shared" si="8"/>
        <v>-1.6000063203134901E-3</v>
      </c>
      <c r="T72">
        <f t="shared" si="8"/>
        <v>-1.9004264141075072E-2</v>
      </c>
      <c r="U72">
        <f t="shared" si="8"/>
        <v>1.6275351378345633E-2</v>
      </c>
      <c r="V72">
        <f t="shared" si="8"/>
        <v>6.7874850019108993E-2</v>
      </c>
      <c r="W72">
        <f t="shared" si="8"/>
        <v>-9.6506431285019526E-3</v>
      </c>
      <c r="X72">
        <f t="shared" si="8"/>
        <v>6.7609292663938822E-2</v>
      </c>
      <c r="Y72">
        <f t="shared" si="8"/>
        <v>-6.280859862111754E-2</v>
      </c>
    </row>
    <row r="73" spans="1:25" x14ac:dyDescent="0.2">
      <c r="A73" s="1" t="s">
        <v>2</v>
      </c>
      <c r="B73">
        <f t="shared" si="7"/>
        <v>3.9221609190623882E-2</v>
      </c>
      <c r="C73">
        <f t="shared" si="7"/>
        <v>0.17914802430689003</v>
      </c>
      <c r="D73">
        <f t="shared" si="7"/>
        <v>0.11808362209600223</v>
      </c>
      <c r="E73">
        <f t="shared" si="7"/>
        <v>6.4175138323721417E-2</v>
      </c>
      <c r="F73">
        <f t="shared" si="7"/>
        <v>-3.5246066542854712E-2</v>
      </c>
      <c r="G73">
        <f t="shared" si="7"/>
        <v>-3.910074474521575E-2</v>
      </c>
      <c r="H73">
        <f t="shared" si="7"/>
        <v>3.6261917232667681E-2</v>
      </c>
      <c r="I73">
        <f t="shared" si="7"/>
        <v>1.9859459350379857E-3</v>
      </c>
      <c r="J73">
        <f t="shared" si="7"/>
        <v>-3.9831062067928191E-2</v>
      </c>
      <c r="K73">
        <f t="shared" si="7"/>
        <v>4.0407562683467825E-2</v>
      </c>
      <c r="L73">
        <f t="shared" si="7"/>
        <v>4.1867851834521234E-2</v>
      </c>
      <c r="M73">
        <f t="shared" si="7"/>
        <v>-9.5906925681548197E-3</v>
      </c>
      <c r="N73">
        <f t="shared" si="7"/>
        <v>1.1315512863960906E-2</v>
      </c>
      <c r="O73">
        <f t="shared" si="7"/>
        <v>-1.2696646700722384E-2</v>
      </c>
      <c r="P73">
        <f t="shared" si="7"/>
        <v>3.0396022742629165E-2</v>
      </c>
      <c r="Q73">
        <f t="shared" si="7"/>
        <v>1.0151713201683326E-2</v>
      </c>
      <c r="R73">
        <f t="shared" ref="R73:Y73" si="9">R41/R$87</f>
        <v>-2.5820593886528454E-3</v>
      </c>
      <c r="S73">
        <f t="shared" si="9"/>
        <v>-6.2813171533308116E-4</v>
      </c>
      <c r="T73">
        <f t="shared" si="9"/>
        <v>-2.1472434706718072E-2</v>
      </c>
      <c r="U73">
        <f t="shared" si="9"/>
        <v>2.6755118526998058E-2</v>
      </c>
      <c r="V73">
        <f t="shared" si="9"/>
        <v>7.0021391399737204E-2</v>
      </c>
      <c r="W73">
        <f t="shared" si="9"/>
        <v>-8.7670954190013015E-3</v>
      </c>
      <c r="X73">
        <f t="shared" si="9"/>
        <v>6.6787794743173465E-2</v>
      </c>
      <c r="Y73">
        <f t="shared" si="9"/>
        <v>-6.1970371082458314E-2</v>
      </c>
    </row>
    <row r="74" spans="1:25" x14ac:dyDescent="0.2">
      <c r="A74" s="1" t="s">
        <v>3</v>
      </c>
      <c r="B74">
        <f t="shared" si="7"/>
        <v>6.9748816979658068E-2</v>
      </c>
      <c r="C74">
        <f t="shared" si="7"/>
        <v>0.19045357448162054</v>
      </c>
      <c r="D74">
        <f t="shared" si="7"/>
        <v>0.14994067533886593</v>
      </c>
      <c r="E74">
        <f t="shared" si="7"/>
        <v>7.8443188937295863E-2</v>
      </c>
      <c r="F74">
        <f t="shared" si="7"/>
        <v>-4.3617416821431602E-2</v>
      </c>
      <c r="G74">
        <f t="shared" si="7"/>
        <v>-5.2437311493910947E-2</v>
      </c>
      <c r="H74">
        <f t="shared" si="7"/>
        <v>4.5179533786134145E-2</v>
      </c>
      <c r="I74">
        <f t="shared" si="7"/>
        <v>-8.1536855136018268E-3</v>
      </c>
      <c r="J74">
        <f t="shared" si="7"/>
        <v>-6.4659413906093657E-2</v>
      </c>
      <c r="K74">
        <f t="shared" si="7"/>
        <v>5.2710173803735348E-2</v>
      </c>
      <c r="L74">
        <f t="shared" si="7"/>
        <v>3.9094873700428273E-2</v>
      </c>
      <c r="M74">
        <f t="shared" si="7"/>
        <v>-2.4578477130555512E-2</v>
      </c>
      <c r="N74">
        <f t="shared" si="7"/>
        <v>1.9920004231504453E-2</v>
      </c>
      <c r="O74">
        <f t="shared" si="7"/>
        <v>-1.9313205059703239E-2</v>
      </c>
      <c r="P74">
        <f t="shared" si="7"/>
        <v>4.344575289012647E-2</v>
      </c>
      <c r="Q74">
        <f t="shared" si="7"/>
        <v>-7.6829078703977462E-3</v>
      </c>
      <c r="R74">
        <f t="shared" ref="R74:Y74" si="10">R42/R$87</f>
        <v>3.0905874817962107E-3</v>
      </c>
      <c r="S74">
        <f t="shared" si="10"/>
        <v>1.4262488939451388E-2</v>
      </c>
      <c r="T74">
        <f t="shared" si="10"/>
        <v>1.40822007681379E-2</v>
      </c>
      <c r="U74">
        <f t="shared" si="10"/>
        <v>4.0148835743262126E-2</v>
      </c>
      <c r="V74">
        <f t="shared" si="10"/>
        <v>8.8150639683506435E-2</v>
      </c>
      <c r="W74">
        <f t="shared" si="10"/>
        <v>-1.7158091619973968E-3</v>
      </c>
      <c r="X74">
        <f t="shared" si="10"/>
        <v>7.5198335661207039E-2</v>
      </c>
      <c r="Y74">
        <f t="shared" si="10"/>
        <v>-6.3343784162346692E-2</v>
      </c>
    </row>
    <row r="75" spans="1:25" x14ac:dyDescent="0.2">
      <c r="A75" s="1" t="s">
        <v>4</v>
      </c>
      <c r="B75">
        <f t="shared" si="7"/>
        <v>6.7865321996476727E-2</v>
      </c>
      <c r="C75">
        <f t="shared" si="7"/>
        <v>0.18125519908667834</v>
      </c>
      <c r="D75">
        <f t="shared" si="7"/>
        <v>0.14880693874959708</v>
      </c>
      <c r="E75">
        <f t="shared" si="7"/>
        <v>8.2851162345076085E-2</v>
      </c>
      <c r="F75">
        <f t="shared" si="7"/>
        <v>-5.1780900185717925E-2</v>
      </c>
      <c r="G75">
        <f t="shared" si="7"/>
        <v>-4.5701117117823625E-2</v>
      </c>
      <c r="H75">
        <f t="shared" si="7"/>
        <v>5.9677202716804892E-2</v>
      </c>
      <c r="I75">
        <f t="shared" si="7"/>
        <v>-2.0481572431990855E-3</v>
      </c>
      <c r="J75">
        <f t="shared" si="7"/>
        <v>-5.2908681288710714E-2</v>
      </c>
      <c r="K75">
        <f t="shared" si="7"/>
        <v>4.9881396532478042E-2</v>
      </c>
      <c r="L75">
        <f t="shared" si="7"/>
        <v>4.147985565763232E-2</v>
      </c>
      <c r="M75">
        <f t="shared" si="7"/>
        <v>-1.551446335724203E-2</v>
      </c>
      <c r="N75">
        <f t="shared" si="7"/>
        <v>1.8815348256563953E-2</v>
      </c>
      <c r="O75">
        <f t="shared" si="7"/>
        <v>-1.5779763418684107E-2</v>
      </c>
      <c r="P75">
        <f t="shared" si="7"/>
        <v>4.3742556870086595E-2</v>
      </c>
      <c r="Q75">
        <f t="shared" si="7"/>
        <v>-6.4035587119151728E-3</v>
      </c>
      <c r="R75">
        <f t="shared" ref="R75:Y75" si="11">R43/R$87</f>
        <v>2.9058748179621336E-4</v>
      </c>
      <c r="S75">
        <f t="shared" si="11"/>
        <v>9.634363544431793E-3</v>
      </c>
      <c r="T75">
        <f t="shared" si="11"/>
        <v>1.7895859636851905E-2</v>
      </c>
      <c r="U75">
        <f t="shared" si="11"/>
        <v>4.5011742182458243E-2</v>
      </c>
      <c r="V75">
        <f t="shared" si="11"/>
        <v>8.6027368993192327E-2</v>
      </c>
      <c r="W75">
        <f t="shared" si="11"/>
        <v>-3.4658091619973975E-3</v>
      </c>
      <c r="X75">
        <f t="shared" si="11"/>
        <v>7.4259292663938867E-2</v>
      </c>
      <c r="Y75">
        <f t="shared" si="11"/>
        <v>-6.138201170100592E-2</v>
      </c>
    </row>
    <row r="76" spans="1:25" x14ac:dyDescent="0.2">
      <c r="A76" s="1" t="s">
        <v>5</v>
      </c>
      <c r="B76">
        <f t="shared" si="7"/>
        <v>5.2229969688820571E-2</v>
      </c>
      <c r="C76">
        <f t="shared" si="7"/>
        <v>0.19133918320522197</v>
      </c>
      <c r="D76">
        <f t="shared" si="7"/>
        <v>0.1477171819446115</v>
      </c>
      <c r="E76">
        <f t="shared" si="7"/>
        <v>9.6310962903427513E-2</v>
      </c>
      <c r="F76">
        <f t="shared" si="7"/>
        <v>-6.1571350278576895E-2</v>
      </c>
      <c r="G76">
        <f t="shared" si="7"/>
        <v>-5.3278355993041093E-2</v>
      </c>
      <c r="H76">
        <f t="shared" si="7"/>
        <v>6.5735751698003053E-2</v>
      </c>
      <c r="I76">
        <f t="shared" si="7"/>
        <v>4.9103685513601824E-3</v>
      </c>
      <c r="J76">
        <f t="shared" si="7"/>
        <v>-6.1487765744259106E-2</v>
      </c>
      <c r="K76">
        <f t="shared" si="7"/>
        <v>5.8042103549929801E-2</v>
      </c>
      <c r="L76">
        <f t="shared" si="7"/>
        <v>3.2749278288161571E-2</v>
      </c>
      <c r="M76">
        <f t="shared" si="7"/>
        <v>-2.0849445164980013E-2</v>
      </c>
      <c r="N76">
        <f t="shared" si="7"/>
        <v>4.0135352488068411E-2</v>
      </c>
      <c r="O76">
        <f t="shared" si="7"/>
        <v>-2.2457252375966425E-2</v>
      </c>
      <c r="P76">
        <f t="shared" si="7"/>
        <v>6.229177563275564E-2</v>
      </c>
      <c r="Q76">
        <f t="shared" si="7"/>
        <v>-1.7610467944340319E-2</v>
      </c>
      <c r="R76">
        <f t="shared" ref="R76:Y76" si="12">R44/R$87</f>
        <v>1.0790587481796215E-2</v>
      </c>
      <c r="S76">
        <f t="shared" si="12"/>
        <v>2.3906238149412198E-2</v>
      </c>
      <c r="T76">
        <f t="shared" si="12"/>
        <v>3.25776890712089E-2</v>
      </c>
      <c r="U76">
        <f t="shared" si="12"/>
        <v>6.4867322209502892E-2</v>
      </c>
      <c r="V76">
        <f t="shared" si="12"/>
        <v>9.8486805206019268E-2</v>
      </c>
      <c r="W76">
        <f t="shared" si="12"/>
        <v>2.0019293855058581E-3</v>
      </c>
      <c r="X76">
        <f t="shared" si="12"/>
        <v>7.4032108199458435E-2</v>
      </c>
      <c r="Y76">
        <f t="shared" si="12"/>
        <v>-5.9208466778324378E-2</v>
      </c>
    </row>
    <row r="77" spans="1:25" x14ac:dyDescent="0.2">
      <c r="A77" s="1" t="s">
        <v>6</v>
      </c>
      <c r="B77">
        <f t="shared" si="7"/>
        <v>4.7780012146030504E-2</v>
      </c>
      <c r="C77">
        <f t="shared" si="7"/>
        <v>0.18849423132488741</v>
      </c>
      <c r="D77">
        <f t="shared" si="7"/>
        <v>0.14322763050360229</v>
      </c>
      <c r="E77">
        <f t="shared" si="7"/>
        <v>0.10677292301509782</v>
      </c>
      <c r="F77">
        <f t="shared" si="7"/>
        <v>-6.7984833642863216E-2</v>
      </c>
      <c r="G77">
        <f t="shared" si="7"/>
        <v>-5.9369400492171223E-2</v>
      </c>
      <c r="H77">
        <f t="shared" si="7"/>
        <v>6.7470984804935977E-2</v>
      </c>
      <c r="I77">
        <f t="shared" si="7"/>
        <v>5.9499999999999996E-3</v>
      </c>
      <c r="J77">
        <f t="shared" si="7"/>
        <v>-5.5054450764239857E-2</v>
      </c>
      <c r="K77">
        <f t="shared" si="7"/>
        <v>6.3349387415109606E-2</v>
      </c>
      <c r="L77">
        <f t="shared" si="7"/>
        <v>3.5191679052783795E-2</v>
      </c>
      <c r="M77">
        <f t="shared" si="7"/>
        <v>-1.3556676843601049E-2</v>
      </c>
      <c r="N77">
        <f t="shared" si="7"/>
        <v>4.9601215724345504E-2</v>
      </c>
      <c r="O77">
        <f t="shared" si="7"/>
        <v>-2.3345996854607576E-2</v>
      </c>
      <c r="P77">
        <f t="shared" si="7"/>
        <v>7.0290738703010586E-2</v>
      </c>
      <c r="Q77">
        <f t="shared" si="7"/>
        <v>-2.0625009242131748E-2</v>
      </c>
      <c r="R77">
        <f t="shared" ref="R77:Y77" si="13">R45/R$87</f>
        <v>1.3590587481796203E-2</v>
      </c>
      <c r="S77">
        <f t="shared" si="13"/>
        <v>2.9506238149412202E-2</v>
      </c>
      <c r="T77">
        <f t="shared" si="13"/>
        <v>3.7845859636851907E-2</v>
      </c>
      <c r="U77">
        <f t="shared" si="13"/>
        <v>7.3240345074372798E-2</v>
      </c>
      <c r="V77">
        <f t="shared" si="13"/>
        <v>0.10336353451570515</v>
      </c>
      <c r="W77">
        <f t="shared" si="13"/>
        <v>6.5519293855058587E-3</v>
      </c>
      <c r="X77">
        <f t="shared" si="13"/>
        <v>7.4613245508201462E-2</v>
      </c>
      <c r="Y77">
        <f t="shared" si="13"/>
        <v>-5.2070239239665146E-2</v>
      </c>
    </row>
    <row r="78" spans="1:25" x14ac:dyDescent="0.2">
      <c r="A78" s="1" t="s">
        <v>7</v>
      </c>
      <c r="B78">
        <f t="shared" si="7"/>
        <v>4.8660478635280495E-2</v>
      </c>
      <c r="C78">
        <f t="shared" si="7"/>
        <v>0.19102848732937452</v>
      </c>
      <c r="D78">
        <f t="shared" si="7"/>
        <v>0.1422841871485635</v>
      </c>
      <c r="E78">
        <f t="shared" si="7"/>
        <v>8.1475691618607099E-2</v>
      </c>
      <c r="F78">
        <f t="shared" si="7"/>
        <v>-5.2944383550004241E-2</v>
      </c>
      <c r="G78">
        <f t="shared" si="7"/>
        <v>-5.0042161616953774E-2</v>
      </c>
      <c r="H78">
        <f t="shared" si="7"/>
        <v>5.9632902037603665E-2</v>
      </c>
      <c r="I78">
        <f t="shared" si="7"/>
        <v>1.7499999999999998E-3</v>
      </c>
      <c r="J78">
        <f t="shared" si="7"/>
        <v>-6.5419615489512487E-2</v>
      </c>
      <c r="K78">
        <f t="shared" si="7"/>
        <v>4.956179786774411E-2</v>
      </c>
      <c r="L78">
        <f t="shared" si="7"/>
        <v>3.1706877523539345E-2</v>
      </c>
      <c r="M78">
        <f t="shared" si="7"/>
        <v>-2.8546192826388796E-2</v>
      </c>
      <c r="N78">
        <f t="shared" si="7"/>
        <v>2.9658281990454716E-2</v>
      </c>
      <c r="O78">
        <f t="shared" si="7"/>
        <v>-1.8101949538344403E-2</v>
      </c>
      <c r="P78">
        <f t="shared" si="7"/>
        <v>4.9004730174524627E-2</v>
      </c>
      <c r="Q78">
        <f t="shared" si="7"/>
        <v>-8.6655686350606206E-3</v>
      </c>
      <c r="R78">
        <f t="shared" ref="R78:Y78" si="14">R46/R$87</f>
        <v>7.6405874817962122E-3</v>
      </c>
      <c r="S78">
        <f t="shared" si="14"/>
        <v>1.3678112754392619E-2</v>
      </c>
      <c r="T78">
        <f t="shared" si="14"/>
        <v>1.9259518505565894E-2</v>
      </c>
      <c r="U78">
        <f t="shared" si="14"/>
        <v>5.4071276479763113E-2</v>
      </c>
      <c r="V78">
        <f t="shared" si="14"/>
        <v>9.043680520601928E-2</v>
      </c>
      <c r="W78">
        <f t="shared" si="14"/>
        <v>-2.2151660334954466E-3</v>
      </c>
      <c r="X78">
        <f t="shared" si="14"/>
        <v>7.3333425814212636E-2</v>
      </c>
      <c r="Y78">
        <f t="shared" si="14"/>
        <v>-6.7396694316983599E-2</v>
      </c>
    </row>
    <row r="79" spans="1:25" x14ac:dyDescent="0.2">
      <c r="A79" s="1" t="s">
        <v>8</v>
      </c>
      <c r="B79">
        <f t="shared" si="7"/>
        <v>4.6425207548519053E-2</v>
      </c>
      <c r="C79">
        <f t="shared" si="7"/>
        <v>0.19671892567225929</v>
      </c>
      <c r="D79">
        <f t="shared" si="7"/>
        <v>0.14266664551536695</v>
      </c>
      <c r="E79">
        <f t="shared" si="7"/>
        <v>9.0367718210826911E-2</v>
      </c>
      <c r="F79">
        <f t="shared" si="7"/>
        <v>-5.9130900185717906E-2</v>
      </c>
      <c r="G79">
        <f t="shared" si="7"/>
        <v>-5.6483206116083894E-2</v>
      </c>
      <c r="H79">
        <f t="shared" si="7"/>
        <v>5.3820984804935981E-2</v>
      </c>
      <c r="I79">
        <f t="shared" si="7"/>
        <v>-3.5207371027203651E-3</v>
      </c>
      <c r="J79">
        <f t="shared" si="7"/>
        <v>-6.0629762012989072E-2</v>
      </c>
      <c r="K79">
        <f t="shared" si="7"/>
        <v>5.9728793553163732E-2</v>
      </c>
      <c r="L79">
        <f t="shared" si="7"/>
        <v>3.4954404587733294E-2</v>
      </c>
      <c r="M79">
        <f t="shared" si="7"/>
        <v>-2.1140587317063409E-2</v>
      </c>
      <c r="N79">
        <f t="shared" si="7"/>
        <v>4.5253111035801097E-2</v>
      </c>
      <c r="O79">
        <f t="shared" si="7"/>
        <v>-2.3668507897325278E-2</v>
      </c>
      <c r="P79">
        <f t="shared" si="7"/>
        <v>5.6316647786548588E-2</v>
      </c>
      <c r="Q79">
        <f t="shared" si="7"/>
        <v>-7.8982293997234918E-3</v>
      </c>
      <c r="R79">
        <f t="shared" ref="R79:Y79" si="15">R47/R$87</f>
        <v>1.28905874817962E-2</v>
      </c>
      <c r="S79">
        <f t="shared" si="15"/>
        <v>1.9628112754392628E-2</v>
      </c>
      <c r="T79">
        <f t="shared" si="15"/>
        <v>2.2095859636851903E-2</v>
      </c>
      <c r="U79">
        <f t="shared" si="15"/>
        <v>5.6528020763545621E-2</v>
      </c>
      <c r="V79">
        <f t="shared" si="15"/>
        <v>9.7390263825391024E-2</v>
      </c>
      <c r="W79">
        <f t="shared" si="15"/>
        <v>5.8483396650455487E-4</v>
      </c>
      <c r="X79">
        <f t="shared" si="15"/>
        <v>7.6945700431698655E-2</v>
      </c>
      <c r="Y79">
        <f t="shared" si="15"/>
        <v>-5.8932011701005919E-2</v>
      </c>
    </row>
    <row r="80" spans="1:25" x14ac:dyDescent="0.2">
      <c r="A80" s="1" t="s">
        <v>9</v>
      </c>
      <c r="B80">
        <f t="shared" si="7"/>
        <v>4.4373817606061267E-2</v>
      </c>
      <c r="C80">
        <f t="shared" si="7"/>
        <v>0.20088893217768938</v>
      </c>
      <c r="D80">
        <f t="shared" si="7"/>
        <v>0.14301241132804365</v>
      </c>
      <c r="E80">
        <f t="shared" si="7"/>
        <v>9.2332446926006437E-2</v>
      </c>
      <c r="F80">
        <f t="shared" si="7"/>
        <v>-5.8317416821431614E-2</v>
      </c>
      <c r="G80">
        <f t="shared" si="7"/>
        <v>-5.4837683866518827E-2</v>
      </c>
      <c r="H80">
        <f t="shared" si="7"/>
        <v>5.2420984804935976E-2</v>
      </c>
      <c r="I80">
        <f t="shared" si="7"/>
        <v>-3.8603685513601831E-3</v>
      </c>
      <c r="J80">
        <f t="shared" si="7"/>
        <v>-5.6984102657344438E-2</v>
      </c>
      <c r="K80">
        <f t="shared" si="7"/>
        <v>6.1168811055589155E-2</v>
      </c>
      <c r="L80">
        <f t="shared" si="7"/>
        <v>3.6484440673325215E-2</v>
      </c>
      <c r="M80">
        <f t="shared" si="7"/>
        <v>-1.8100172166418561E-2</v>
      </c>
      <c r="N80">
        <f t="shared" si="7"/>
        <v>4.5727420869929848E-2</v>
      </c>
      <c r="O80">
        <f t="shared" si="7"/>
        <v>-2.3318507897325268E-2</v>
      </c>
      <c r="P80">
        <f t="shared" si="7"/>
        <v>5.8811207445409165E-2</v>
      </c>
      <c r="Q80">
        <f t="shared" si="7"/>
        <v>-6.0445179491936223E-3</v>
      </c>
      <c r="R80">
        <f t="shared" ref="R80:Y80" si="16">R48/R$87</f>
        <v>1.5340587481796199E-2</v>
      </c>
      <c r="S80">
        <f t="shared" si="16"/>
        <v>2.2778112754392607E-2</v>
      </c>
      <c r="T80">
        <f t="shared" si="16"/>
        <v>2.2795859636851903E-2</v>
      </c>
      <c r="U80">
        <f t="shared" si="16"/>
        <v>5.7244881473001934E-2</v>
      </c>
      <c r="V80">
        <f t="shared" si="16"/>
        <v>0.10021353451570517</v>
      </c>
      <c r="W80">
        <f t="shared" si="16"/>
        <v>1.8183816760052045E-3</v>
      </c>
      <c r="X80">
        <f t="shared" si="16"/>
        <v>7.8809292663938865E-2</v>
      </c>
      <c r="Y80">
        <f t="shared" si="16"/>
        <v>-6.0193784162346692E-2</v>
      </c>
    </row>
    <row r="81" spans="1:25" x14ac:dyDescent="0.2">
      <c r="A81" s="1" t="s">
        <v>10</v>
      </c>
      <c r="B81">
        <f t="shared" si="7"/>
        <v>4.8931889478750934E-2</v>
      </c>
      <c r="C81">
        <f t="shared" si="7"/>
        <v>0.18436818425840115</v>
      </c>
      <c r="D81">
        <f t="shared" si="7"/>
        <v>0.13529712369782629</v>
      </c>
      <c r="E81">
        <f t="shared" si="7"/>
        <v>8.4306976199537476E-2</v>
      </c>
      <c r="F81">
        <f t="shared" si="7"/>
        <v>-6.3803933457145301E-2</v>
      </c>
      <c r="G81">
        <f t="shared" si="7"/>
        <v>-6.0706711986082157E-2</v>
      </c>
      <c r="H81">
        <f t="shared" si="7"/>
        <v>3.8529533786134142E-2</v>
      </c>
      <c r="I81">
        <f t="shared" si="7"/>
        <v>-2.0032948410881459E-2</v>
      </c>
      <c r="J81">
        <f t="shared" si="7"/>
        <v>-5.5473956133867845E-2</v>
      </c>
      <c r="K81">
        <f t="shared" si="7"/>
        <v>5.9046330593252871E-2</v>
      </c>
      <c r="L81">
        <f t="shared" si="7"/>
        <v>4.1066949694723201E-2</v>
      </c>
      <c r="M81">
        <f t="shared" si="7"/>
        <v>-1.9611383185069352E-2</v>
      </c>
      <c r="N81">
        <f t="shared" si="7"/>
        <v>4.3651215724345514E-2</v>
      </c>
      <c r="O81">
        <f t="shared" si="7"/>
        <v>-2.2241018940042961E-2</v>
      </c>
      <c r="P81">
        <f t="shared" si="7"/>
        <v>5.7890568241401187E-2</v>
      </c>
      <c r="Q81">
        <f t="shared" si="7"/>
        <v>6.4876079385335989E-2</v>
      </c>
      <c r="R81">
        <f t="shared" ref="R81:Y81" si="17">R49/R$87</f>
        <v>1.9817940611347156E-2</v>
      </c>
      <c r="S81">
        <f t="shared" si="17"/>
        <v>1.8965611174314223E-2</v>
      </c>
      <c r="T81">
        <f t="shared" si="17"/>
        <v>2.1745859636851904E-2</v>
      </c>
      <c r="U81">
        <f t="shared" si="17"/>
        <v>5.6215114324349509E-2</v>
      </c>
      <c r="V81">
        <f t="shared" si="17"/>
        <v>0.10126353451570515</v>
      </c>
      <c r="W81">
        <f t="shared" si="17"/>
        <v>3.034833966504552E-3</v>
      </c>
      <c r="X81">
        <f t="shared" si="17"/>
        <v>8.2202288505469637E-2</v>
      </c>
      <c r="Y81">
        <f t="shared" si="17"/>
        <v>-6.1446694316983602E-2</v>
      </c>
    </row>
    <row r="82" spans="1:25" x14ac:dyDescent="0.2">
      <c r="A82" s="1" t="s">
        <v>11</v>
      </c>
      <c r="B82">
        <f t="shared" si="7"/>
        <v>4.8808420458039299E-2</v>
      </c>
      <c r="C82">
        <f t="shared" si="7"/>
        <v>0.18540177557207074</v>
      </c>
      <c r="D82">
        <f t="shared" si="7"/>
        <v>0.13127329923830358</v>
      </c>
      <c r="E82">
        <f t="shared" si="7"/>
        <v>8.3260353853237157E-2</v>
      </c>
      <c r="F82">
        <f t="shared" si="7"/>
        <v>-6.3690450092858952E-2</v>
      </c>
      <c r="G82">
        <f t="shared" si="7"/>
        <v>-6.6238800984342455E-2</v>
      </c>
      <c r="H82">
        <f t="shared" si="7"/>
        <v>2.9217616553466462E-2</v>
      </c>
      <c r="I82">
        <f t="shared" si="7"/>
        <v>-2.7403685513601828E-2</v>
      </c>
      <c r="J82">
        <f t="shared" si="7"/>
        <v>-5.516307699300832E-2</v>
      </c>
      <c r="K82">
        <f t="shared" si="7"/>
        <v>6.0503614458432727E-2</v>
      </c>
      <c r="L82">
        <f t="shared" si="7"/>
        <v>4.081447675891714E-2</v>
      </c>
      <c r="M82">
        <f t="shared" si="7"/>
        <v>-1.9168165279761808E-2</v>
      </c>
      <c r="N82">
        <f t="shared" si="7"/>
        <v>4.6147940081147469E-2</v>
      </c>
      <c r="O82">
        <f t="shared" si="7"/>
        <v>-2.3163205059703245E-2</v>
      </c>
      <c r="P82">
        <f t="shared" si="7"/>
        <v>5.5845923351735889E-2</v>
      </c>
      <c r="Q82">
        <f t="shared" si="7"/>
        <v>7.7089288841530185E-2</v>
      </c>
      <c r="R82">
        <f t="shared" ref="R82:Y82" si="18">R50/R$87</f>
        <v>2.0167940611347163E-2</v>
      </c>
      <c r="S82">
        <f t="shared" si="18"/>
        <v>1.7565611174314238E-2</v>
      </c>
      <c r="T82">
        <f t="shared" si="18"/>
        <v>1.44322007681379E-2</v>
      </c>
      <c r="U82">
        <f t="shared" si="18"/>
        <v>5.2035347175697078E-2</v>
      </c>
      <c r="V82">
        <f t="shared" si="18"/>
        <v>0.10224372244476285</v>
      </c>
      <c r="W82">
        <f t="shared" si="18"/>
        <v>2.8512862570039045E-3</v>
      </c>
      <c r="X82">
        <f t="shared" si="18"/>
        <v>8.3832108199458438E-2</v>
      </c>
      <c r="Y82">
        <f t="shared" si="18"/>
        <v>-5.9208466778324378E-2</v>
      </c>
    </row>
    <row r="84" spans="1:25" s="6" customFormat="1" x14ac:dyDescent="0.2">
      <c r="A84" s="5" t="s">
        <v>13</v>
      </c>
    </row>
    <row r="86" spans="1:25" x14ac:dyDescent="0.2">
      <c r="B86" s="1" t="s">
        <v>19</v>
      </c>
      <c r="C86" s="1" t="s">
        <v>20</v>
      </c>
      <c r="D86" s="1" t="s">
        <v>21</v>
      </c>
      <c r="E86" s="1" t="s">
        <v>23</v>
      </c>
      <c r="F86" s="1" t="s">
        <v>22</v>
      </c>
      <c r="G86" s="1" t="s">
        <v>24</v>
      </c>
      <c r="H86" s="1" t="s">
        <v>25</v>
      </c>
      <c r="I86" s="1" t="s">
        <v>26</v>
      </c>
      <c r="J86" s="1" t="s">
        <v>27</v>
      </c>
      <c r="K86" s="1" t="s">
        <v>28</v>
      </c>
      <c r="L86" s="1" t="s">
        <v>29</v>
      </c>
      <c r="M86" s="1" t="s">
        <v>30</v>
      </c>
      <c r="N86" s="1" t="s">
        <v>31</v>
      </c>
      <c r="O86" s="1" t="s">
        <v>32</v>
      </c>
      <c r="P86" s="1" t="s">
        <v>33</v>
      </c>
      <c r="Q86" s="1" t="s">
        <v>34</v>
      </c>
      <c r="R86" s="1" t="s">
        <v>35</v>
      </c>
      <c r="S86" s="1" t="s">
        <v>36</v>
      </c>
      <c r="T86" s="1" t="s">
        <v>37</v>
      </c>
      <c r="U86" s="1" t="s">
        <v>38</v>
      </c>
      <c r="V86" s="1" t="s">
        <v>39</v>
      </c>
      <c r="W86" s="1" t="s">
        <v>40</v>
      </c>
      <c r="X86" s="1" t="s">
        <v>41</v>
      </c>
      <c r="Y86" s="1" t="s">
        <v>42</v>
      </c>
    </row>
    <row r="87" spans="1:25" x14ac:dyDescent="0.2">
      <c r="A87" s="1" t="s">
        <v>13</v>
      </c>
      <c r="B87" s="4">
        <v>569.30978370000003</v>
      </c>
      <c r="C87" s="4">
        <v>27.0161999</v>
      </c>
      <c r="D87" s="4">
        <v>15.022717500000001</v>
      </c>
      <c r="E87" s="4">
        <v>1.502996</v>
      </c>
      <c r="F87" s="4">
        <v>0.13181280000000001</v>
      </c>
      <c r="G87" s="4">
        <v>0.78293889999999999</v>
      </c>
      <c r="H87" s="4">
        <v>0.63791109999999995</v>
      </c>
      <c r="I87" s="4">
        <v>0.57483439999999997</v>
      </c>
      <c r="J87" s="4">
        <v>1.3243748</v>
      </c>
      <c r="K87" s="4">
        <v>11.619646700000001</v>
      </c>
      <c r="L87" s="4">
        <v>1.3651709000000001</v>
      </c>
      <c r="M87" s="4">
        <v>1.5964205</v>
      </c>
      <c r="N87" s="4">
        <v>1.7613121</v>
      </c>
      <c r="O87" s="4">
        <v>1.0843798</v>
      </c>
      <c r="P87" s="4">
        <v>7.6034129000000004</v>
      </c>
      <c r="Q87" s="4">
        <v>81.205561700000004</v>
      </c>
      <c r="R87" s="4">
        <v>0.1066399</v>
      </c>
      <c r="S87" s="4">
        <v>0.39555000000000001</v>
      </c>
      <c r="T87" s="4">
        <v>0.70513380000000003</v>
      </c>
      <c r="U87" s="4">
        <v>1.4217225</v>
      </c>
      <c r="V87" s="4">
        <v>0.72635919999999998</v>
      </c>
      <c r="W87" s="4">
        <v>0.4412182</v>
      </c>
      <c r="X87" s="4">
        <v>2.1448757999999999</v>
      </c>
      <c r="Y87" s="4">
        <v>0.44678210000000002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Expected Genetic Progress</vt:lpstr>
      <vt:lpstr>Selection Index Progress</vt:lpstr>
      <vt:lpstr>Difference in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Cole</dc:creator>
  <cp:lastModifiedBy>John Cole</cp:lastModifiedBy>
  <dcterms:created xsi:type="dcterms:W3CDTF">2025-07-16T16:23:16Z</dcterms:created>
  <dcterms:modified xsi:type="dcterms:W3CDTF">2025-07-23T21:54:01Z</dcterms:modified>
</cp:coreProperties>
</file>